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"/>
    </mc:Choice>
  </mc:AlternateContent>
  <xr:revisionPtr revIDLastSave="0" documentId="13_ncr:1_{DCBD2FA7-7AD8-42BB-85C4-B640CC8A34BF}" xr6:coauthVersionLast="47" xr6:coauthVersionMax="47" xr10:uidLastSave="{00000000-0000-0000-0000-000000000000}"/>
  <bookViews>
    <workbookView xWindow="-108" yWindow="-108" windowWidth="23256" windowHeight="12576" xr2:uid="{FB1AEA7D-C99F-454B-B574-00DAEDC2923C}"/>
  </bookViews>
  <sheets>
    <sheet name="დეილი" sheetId="2" r:id="rId1"/>
  </sheets>
  <definedNames>
    <definedName name="_xlnm._FilterDatabase" localSheetId="0" hidden="1">დეილი!$A$1:$T$1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2" l="1"/>
  <c r="T11" i="2"/>
  <c r="T12" i="2"/>
  <c r="T13" i="2"/>
  <c r="T14" i="2"/>
  <c r="T15" i="2"/>
  <c r="T9" i="2" l="1"/>
  <c r="T10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<sst xmlns="http://schemas.openxmlformats.org/spreadsheetml/2006/main" count="198" uniqueCount="122">
  <si>
    <t>აქციის დაწყება</t>
  </si>
  <si>
    <t>აქციის დამთავრება</t>
  </si>
  <si>
    <t>გვერდი</t>
  </si>
  <si>
    <t>კატეგორიის მენეჯერი</t>
  </si>
  <si>
    <t>აქციის ტიპი</t>
  </si>
  <si>
    <t>ადგილობრივი/იმპორტი</t>
  </si>
  <si>
    <t>ფორმატი</t>
  </si>
  <si>
    <t>I დონე</t>
  </si>
  <si>
    <t>II დონე</t>
  </si>
  <si>
    <t xml:space="preserve">III დონე </t>
  </si>
  <si>
    <t>ბრენდი</t>
  </si>
  <si>
    <t>მომწოდებელი</t>
  </si>
  <si>
    <t>შტრიხკოდი</t>
  </si>
  <si>
    <t>ID კოდი</t>
  </si>
  <si>
    <t>დასახელება</t>
  </si>
  <si>
    <t>რეგულარი გასაყიდი ფასი</t>
  </si>
  <si>
    <t>სააქციო გასაყიდი</t>
  </si>
  <si>
    <t>მომხმარებლის თაროზე %</t>
  </si>
  <si>
    <t>ხატია ბარამიძე</t>
  </si>
  <si>
    <t>ადგილობრივი</t>
  </si>
  <si>
    <t>ბაკალეა</t>
  </si>
  <si>
    <t>მაკარონი</t>
  </si>
  <si>
    <t>სპაგეტი</t>
  </si>
  <si>
    <t>ვერმიშელი</t>
  </si>
  <si>
    <t>ფქვილი</t>
  </si>
  <si>
    <t>4860004400468</t>
  </si>
  <si>
    <t>წიწიბურა</t>
  </si>
  <si>
    <t>შენთვის შერჩეული</t>
  </si>
  <si>
    <t>შაქარი</t>
  </si>
  <si>
    <t>A</t>
  </si>
  <si>
    <t>დაფნა</t>
  </si>
  <si>
    <t>4760165250059</t>
  </si>
  <si>
    <t>00000006626</t>
  </si>
  <si>
    <t>მაკარონი /სავილე/ სპაგეტი 500 გრ სამარხვო</t>
  </si>
  <si>
    <t>4760165250028</t>
  </si>
  <si>
    <t>00000006631</t>
  </si>
  <si>
    <t>მაკარონი /სავილე/ ვერმიშელი 500გრ სამარხვო</t>
  </si>
  <si>
    <t>მაკარონი ფორმებით</t>
  </si>
  <si>
    <t>4760165250103</t>
  </si>
  <si>
    <t>00000006615</t>
  </si>
  <si>
    <t>მაკარონი /სავილე/ კალამი 500 გრ სამარხვი</t>
  </si>
  <si>
    <t>C</t>
  </si>
  <si>
    <t>4760165250073</t>
  </si>
  <si>
    <t>00000006629</t>
  </si>
  <si>
    <t>მაკარონი /სავილე/ ნიჟარა.სამარხვო 500 გრ</t>
  </si>
  <si>
    <t>4760165250066</t>
  </si>
  <si>
    <t>00000006627</t>
  </si>
  <si>
    <t>მაკარონი /სავილე/  სპირალი 500 გრ სამარხვო</t>
  </si>
  <si>
    <t>წიწიბურა I ხარისხი</t>
  </si>
  <si>
    <t>4860004550361</t>
  </si>
  <si>
    <t>00000002786</t>
  </si>
  <si>
    <t>წიწიბურა /რიჩმონდი/  800გრ</t>
  </si>
  <si>
    <t>B</t>
  </si>
  <si>
    <t>ფქვილი ხორბლის</t>
  </si>
  <si>
    <t>ამბარი</t>
  </si>
  <si>
    <t>00000006605</t>
  </si>
  <si>
    <t>ფქვილი /პროგრესი/ დაფასოებული 2 კგ.</t>
  </si>
  <si>
    <t>4860123740018</t>
  </si>
  <si>
    <t>00-00026658</t>
  </si>
  <si>
    <t>შაქარი /დაფასოებული/ 900 გრ</t>
  </si>
  <si>
    <t>4607014783569</t>
  </si>
  <si>
    <t>00-00002777</t>
  </si>
  <si>
    <t>ზეთი მზესუმზირის/ზალატოი კუვშინ/1ლ</t>
  </si>
  <si>
    <t>OOO TK BLAGO</t>
  </si>
  <si>
    <t>ჯიბე</t>
  </si>
  <si>
    <t>მცენარეული ზეთი</t>
  </si>
  <si>
    <t>ზეთი მზესუმზირის</t>
  </si>
  <si>
    <t>შაქარი თეთრი</t>
  </si>
  <si>
    <t>იმპორტი</t>
  </si>
  <si>
    <t>ლაშა ნანობაშვილი</t>
  </si>
  <si>
    <t>კარაქი</t>
  </si>
  <si>
    <t>ხაჭო</t>
  </si>
  <si>
    <t>4860051003889</t>
  </si>
  <si>
    <t>რძე</t>
  </si>
  <si>
    <t>მაწონი</t>
  </si>
  <si>
    <t>არაჟანი</t>
  </si>
  <si>
    <t>I კლასტერი</t>
  </si>
  <si>
    <t>რძის პროდუქტები</t>
  </si>
  <si>
    <t>რძემჟავა პროდუქტი</t>
  </si>
  <si>
    <t>ლაქტალის ჯორჯია</t>
  </si>
  <si>
    <t>4860051004961</t>
  </si>
  <si>
    <t>00000012826</t>
  </si>
  <si>
    <t>არაჟანი /სანტე/ ნაღებით 400გრ</t>
  </si>
  <si>
    <t>მყარი ცხიმები</t>
  </si>
  <si>
    <t>4860051004633</t>
  </si>
  <si>
    <t>00000007812</t>
  </si>
  <si>
    <t>კარაქი /სანტინო/ (82.5%) 200გრ</t>
  </si>
  <si>
    <t>ქართული რძის პროდუქტები</t>
  </si>
  <si>
    <t>4860004211828</t>
  </si>
  <si>
    <t>00-00039897</t>
  </si>
  <si>
    <t>მაწონი / სვანური / 3.2% / 350გრ</t>
  </si>
  <si>
    <t>რძე ულტრაპასტერიზებული</t>
  </si>
  <si>
    <t>POLMLEK RACIAZ Sp. z o.o.</t>
  </si>
  <si>
    <t>5907809284219</t>
  </si>
  <si>
    <t>00-00039727</t>
  </si>
  <si>
    <t>რძე / ულტრაპასტერიზირებული  /პოლმლეკი / 2% / 1ლ</t>
  </si>
  <si>
    <t>00000005596</t>
  </si>
  <si>
    <t>ხაჭო /სანტინო/ 6% 180გრ</t>
  </si>
  <si>
    <t>მაიკო მირზაშვილი</t>
  </si>
  <si>
    <t>გაყინული პროდუქტები</t>
  </si>
  <si>
    <t>გაყინული ფრინველის ხორცი</t>
  </si>
  <si>
    <t>გაყინული ქათამი</t>
  </si>
  <si>
    <t>GLOBEX INTERNATIONAL, INC.</t>
  </si>
  <si>
    <t>072745905209</t>
  </si>
  <si>
    <t>00-00042534</t>
  </si>
  <si>
    <t>ქათამი გაყინული / შეფ ჩოის / 1ც</t>
  </si>
  <si>
    <t>ID კოდი მაგნიტი</t>
  </si>
  <si>
    <t xml:space="preserve">388DB823A0 </t>
  </si>
  <si>
    <t xml:space="preserve">0414827CBC </t>
  </si>
  <si>
    <t xml:space="preserve">6AC5617072 </t>
  </si>
  <si>
    <t xml:space="preserve">194D052276 </t>
  </si>
  <si>
    <t xml:space="preserve">4D5CB794E1 </t>
  </si>
  <si>
    <t>00-00010875</t>
  </si>
  <si>
    <t>00-00011482</t>
  </si>
  <si>
    <t xml:space="preserve">979A49B6F6 </t>
  </si>
  <si>
    <t xml:space="preserve">C2C20C89AE </t>
  </si>
  <si>
    <t xml:space="preserve">9C2FC66EE9 </t>
  </si>
  <si>
    <t>00-00011426</t>
  </si>
  <si>
    <t xml:space="preserve">1237677497 </t>
  </si>
  <si>
    <t>00-00015110</t>
  </si>
  <si>
    <t xml:space="preserve">B701B1ED5D </t>
  </si>
  <si>
    <t xml:space="preserve">6FFBD3BD1A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</si>
</sst>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Sylfaen"/>
      <family val="1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F75B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2" xfId="3" applyBorder="1" applyAlignment="1">
      <alignment horizontal="left" vertical="top" wrapText="1"/>
    </xf>
    <xf numFmtId="43" fontId="8" fillId="0" borderId="3" xfId="1" applyFont="1" applyFill="1" applyBorder="1" applyAlignment="1">
      <alignment horizontal="right" vertical="center"/>
    </xf>
    <xf numFmtId="10" fontId="9" fillId="0" borderId="1" xfId="2" applyNumberFormat="1" applyFont="1" applyFill="1" applyBorder="1" applyAlignment="1" applyProtection="1">
      <alignment horizontal="center" vertical="center"/>
    </xf>
    <xf numFmtId="0" fontId="5" fillId="0" borderId="0" xfId="0" applyFont="1"/>
    <xf numFmtId="0" fontId="7" fillId="0" borderId="2" xfId="3" applyBorder="1" applyAlignment="1">
      <alignment horizontal="center" vertical="top" wrapText="1"/>
    </xf>
    <xf numFmtId="0" fontId="3" fillId="0" borderId="1" xfId="0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Border="1"/>
  </cellXfs>
  <cellStyles count="4">
    <cellStyle name="Comma" xfId="1" builtinId="3"/>
    <cellStyle name="Normal" xfId="0" builtinId="0"/>
    <cellStyle name="Normal_PROMO" xfId="3" xr:uid="{D169E8F8-A341-4172-AC21-F6217E12CBD8}"/>
    <cellStyle name="Percent" xfId="2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E848-0D67-4BBD-92B4-6ECB04F01BCF}">
  <dimension ref="A1:T16"/>
  <sheetViews>
    <sheetView tabSelected="1" workbookViewId="0">
      <selection activeCell="U1" sqref="U1:AL1048576"/>
    </sheetView>
  </sheetViews>
  <sheetFormatPr defaultRowHeight="14.4" x14ac:dyDescent="0.3"/>
  <cols>
    <col min="1" max="2" width="13.88671875" customWidth="1"/>
    <col min="3" max="3" width="7.44140625" customWidth="1"/>
    <col min="4" max="4" width="5.21875" customWidth="1"/>
    <col min="5" max="5" width="13.88671875" customWidth="1"/>
    <col min="6" max="6" width="16.109375" bestFit="1" customWidth="1"/>
    <col min="7" max="16" width="13.88671875" customWidth="1"/>
    <col min="17" max="17" width="32.6640625" bestFit="1" customWidth="1"/>
  </cols>
  <sheetData>
    <row r="1" spans="1:20" s="12" customFormat="1" ht="40.799999999999997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106</v>
      </c>
      <c r="Q1" s="1" t="s">
        <v>14</v>
      </c>
      <c r="R1" s="3" t="s">
        <v>15</v>
      </c>
      <c r="S1" s="3" t="s">
        <v>16</v>
      </c>
      <c r="T1" s="4" t="s">
        <v>17</v>
      </c>
    </row>
    <row r="2" spans="1:20" s="5" customFormat="1" ht="13.8" customHeight="1" x14ac:dyDescent="0.3">
      <c r="A2" s="6">
        <v>46148</v>
      </c>
      <c r="B2" s="6">
        <v>46154</v>
      </c>
      <c r="C2" s="13"/>
      <c r="D2" s="13"/>
      <c r="E2" s="6" t="s">
        <v>18</v>
      </c>
      <c r="F2" s="6" t="s">
        <v>27</v>
      </c>
      <c r="G2" s="6" t="s">
        <v>19</v>
      </c>
      <c r="H2" s="7" t="s">
        <v>29</v>
      </c>
      <c r="I2" s="8" t="s">
        <v>20</v>
      </c>
      <c r="J2" s="8" t="s">
        <v>21</v>
      </c>
      <c r="K2" s="8" t="s">
        <v>22</v>
      </c>
      <c r="L2" s="14"/>
      <c r="M2" s="8" t="s">
        <v>30</v>
      </c>
      <c r="N2" s="9" t="s">
        <v>31</v>
      </c>
      <c r="O2" s="15" t="s">
        <v>32</v>
      </c>
      <c r="P2" s="15" t="s">
        <v>107</v>
      </c>
      <c r="Q2" s="8" t="s">
        <v>33</v>
      </c>
      <c r="R2" s="10">
        <v>2.9</v>
      </c>
      <c r="S2" s="16">
        <v>1.69</v>
      </c>
      <c r="T2" s="11">
        <f>S2/R2-1</f>
        <v>-0.41724137931034477</v>
      </c>
    </row>
    <row r="3" spans="1:20" s="5" customFormat="1" ht="13.8" customHeight="1" x14ac:dyDescent="0.3">
      <c r="A3" s="6">
        <v>46148</v>
      </c>
      <c r="B3" s="6">
        <v>46154</v>
      </c>
      <c r="C3" s="13"/>
      <c r="D3" s="13"/>
      <c r="E3" s="6" t="s">
        <v>18</v>
      </c>
      <c r="F3" s="6" t="s">
        <v>27</v>
      </c>
      <c r="G3" s="6" t="s">
        <v>19</v>
      </c>
      <c r="H3" s="7" t="s">
        <v>29</v>
      </c>
      <c r="I3" s="8" t="s">
        <v>20</v>
      </c>
      <c r="J3" s="8" t="s">
        <v>21</v>
      </c>
      <c r="K3" s="8" t="s">
        <v>23</v>
      </c>
      <c r="L3" s="14"/>
      <c r="M3" s="8" t="s">
        <v>30</v>
      </c>
      <c r="N3" s="9" t="s">
        <v>34</v>
      </c>
      <c r="O3" s="15" t="s">
        <v>35</v>
      </c>
      <c r="P3" s="15" t="s">
        <v>108</v>
      </c>
      <c r="Q3" s="8" t="s">
        <v>36</v>
      </c>
      <c r="R3" s="10">
        <v>2.9</v>
      </c>
      <c r="S3" s="16">
        <v>1.69</v>
      </c>
      <c r="T3" s="11">
        <f>S3/R3-1</f>
        <v>-0.41724137931034477</v>
      </c>
    </row>
    <row r="4" spans="1:20" s="5" customFormat="1" ht="13.8" customHeight="1" x14ac:dyDescent="0.3">
      <c r="A4" s="6">
        <v>46148</v>
      </c>
      <c r="B4" s="6">
        <v>46154</v>
      </c>
      <c r="C4" s="13"/>
      <c r="D4" s="13"/>
      <c r="E4" s="6" t="s">
        <v>18</v>
      </c>
      <c r="F4" s="6" t="s">
        <v>27</v>
      </c>
      <c r="G4" s="6" t="s">
        <v>19</v>
      </c>
      <c r="H4" s="7" t="s">
        <v>29</v>
      </c>
      <c r="I4" s="8" t="s">
        <v>20</v>
      </c>
      <c r="J4" s="8" t="s">
        <v>21</v>
      </c>
      <c r="K4" s="8" t="s">
        <v>37</v>
      </c>
      <c r="L4" s="14"/>
      <c r="M4" s="8" t="s">
        <v>30</v>
      </c>
      <c r="N4" s="9" t="s">
        <v>38</v>
      </c>
      <c r="O4" s="15" t="s">
        <v>39</v>
      </c>
      <c r="P4" s="15" t="s">
        <v>109</v>
      </c>
      <c r="Q4" s="8" t="s">
        <v>40</v>
      </c>
      <c r="R4" s="10">
        <v>2.9</v>
      </c>
      <c r="S4" s="16">
        <v>1.69</v>
      </c>
      <c r="T4" s="11">
        <f>S4/R4-1</f>
        <v>-0.41724137931034477</v>
      </c>
    </row>
    <row r="5" spans="1:20" s="5" customFormat="1" ht="13.8" customHeight="1" x14ac:dyDescent="0.3">
      <c r="A5" s="6">
        <v>46148</v>
      </c>
      <c r="B5" s="6">
        <v>46154</v>
      </c>
      <c r="C5" s="13"/>
      <c r="D5" s="13"/>
      <c r="E5" s="6" t="s">
        <v>18</v>
      </c>
      <c r="F5" s="6" t="s">
        <v>27</v>
      </c>
      <c r="G5" s="6" t="s">
        <v>19</v>
      </c>
      <c r="H5" s="7" t="s">
        <v>41</v>
      </c>
      <c r="I5" s="8" t="s">
        <v>20</v>
      </c>
      <c r="J5" s="8" t="s">
        <v>21</v>
      </c>
      <c r="K5" s="8" t="s">
        <v>37</v>
      </c>
      <c r="L5" s="14"/>
      <c r="M5" s="8" t="s">
        <v>30</v>
      </c>
      <c r="N5" s="9" t="s">
        <v>42</v>
      </c>
      <c r="O5" s="15" t="s">
        <v>43</v>
      </c>
      <c r="P5" s="15" t="s">
        <v>121</v>
      </c>
      <c r="Q5" s="8" t="s">
        <v>44</v>
      </c>
      <c r="R5" s="10">
        <v>2.9</v>
      </c>
      <c r="S5" s="16">
        <v>1.69</v>
      </c>
      <c r="T5" s="11">
        <f>S5/R5-1</f>
        <v>-0.41724137931034477</v>
      </c>
    </row>
    <row r="6" spans="1:20" s="5" customFormat="1" ht="13.8" customHeight="1" x14ac:dyDescent="0.3">
      <c r="A6" s="6">
        <v>46148</v>
      </c>
      <c r="B6" s="6">
        <v>46154</v>
      </c>
      <c r="C6" s="13"/>
      <c r="D6" s="13"/>
      <c r="E6" s="6" t="s">
        <v>18</v>
      </c>
      <c r="F6" s="6" t="s">
        <v>27</v>
      </c>
      <c r="G6" s="6" t="s">
        <v>19</v>
      </c>
      <c r="H6" s="7" t="s">
        <v>29</v>
      </c>
      <c r="I6" s="8" t="s">
        <v>20</v>
      </c>
      <c r="J6" s="8" t="s">
        <v>21</v>
      </c>
      <c r="K6" s="8" t="s">
        <v>37</v>
      </c>
      <c r="L6" s="14"/>
      <c r="M6" s="8" t="s">
        <v>30</v>
      </c>
      <c r="N6" s="9" t="s">
        <v>45</v>
      </c>
      <c r="O6" s="15" t="s">
        <v>46</v>
      </c>
      <c r="P6" s="15" t="s">
        <v>110</v>
      </c>
      <c r="Q6" s="8" t="s">
        <v>47</v>
      </c>
      <c r="R6" s="10">
        <v>2.9</v>
      </c>
      <c r="S6" s="16">
        <v>1.69</v>
      </c>
      <c r="T6" s="11">
        <f>S6/R6-1</f>
        <v>-0.41724137931034477</v>
      </c>
    </row>
    <row r="7" spans="1:20" s="5" customFormat="1" ht="13.8" customHeight="1" x14ac:dyDescent="0.3">
      <c r="A7" s="6">
        <v>46148</v>
      </c>
      <c r="B7" s="6">
        <v>46154</v>
      </c>
      <c r="C7" s="13"/>
      <c r="D7" s="13"/>
      <c r="E7" s="6" t="s">
        <v>18</v>
      </c>
      <c r="F7" s="6" t="s">
        <v>27</v>
      </c>
      <c r="G7" s="6" t="s">
        <v>19</v>
      </c>
      <c r="H7" s="7" t="s">
        <v>29</v>
      </c>
      <c r="I7" s="8" t="s">
        <v>20</v>
      </c>
      <c r="J7" s="8" t="s">
        <v>26</v>
      </c>
      <c r="K7" s="8" t="s">
        <v>48</v>
      </c>
      <c r="L7" s="14"/>
      <c r="M7" s="8" t="s">
        <v>30</v>
      </c>
      <c r="N7" s="9" t="s">
        <v>49</v>
      </c>
      <c r="O7" s="15" t="s">
        <v>50</v>
      </c>
      <c r="P7" s="15" t="s">
        <v>111</v>
      </c>
      <c r="Q7" s="8" t="s">
        <v>51</v>
      </c>
      <c r="R7" s="10">
        <v>3.95</v>
      </c>
      <c r="S7" s="16">
        <v>1.69</v>
      </c>
      <c r="T7" s="11">
        <f>S7/R7-1</f>
        <v>-0.57215189873417727</v>
      </c>
    </row>
    <row r="8" spans="1:20" s="5" customFormat="1" ht="13.8" customHeight="1" x14ac:dyDescent="0.3">
      <c r="A8" s="6">
        <v>46148</v>
      </c>
      <c r="B8" s="6">
        <v>46154</v>
      </c>
      <c r="C8" s="13"/>
      <c r="D8" s="13"/>
      <c r="E8" s="6" t="s">
        <v>18</v>
      </c>
      <c r="F8" s="6" t="s">
        <v>27</v>
      </c>
      <c r="G8" s="6" t="s">
        <v>19</v>
      </c>
      <c r="H8" s="7" t="s">
        <v>52</v>
      </c>
      <c r="I8" s="8" t="s">
        <v>20</v>
      </c>
      <c r="J8" s="8" t="s">
        <v>24</v>
      </c>
      <c r="K8" s="8" t="s">
        <v>53</v>
      </c>
      <c r="L8" s="14"/>
      <c r="M8" s="8" t="s">
        <v>54</v>
      </c>
      <c r="N8" s="9" t="s">
        <v>25</v>
      </c>
      <c r="O8" s="15" t="s">
        <v>55</v>
      </c>
      <c r="P8" s="15" t="s">
        <v>112</v>
      </c>
      <c r="Q8" s="8" t="s">
        <v>56</v>
      </c>
      <c r="R8" s="10">
        <v>8.85</v>
      </c>
      <c r="S8" s="16">
        <v>5.79</v>
      </c>
      <c r="T8" s="11">
        <f>S8/R8-1</f>
        <v>-0.34576271186440677</v>
      </c>
    </row>
    <row r="9" spans="1:20" s="5" customFormat="1" ht="13.8" customHeight="1" x14ac:dyDescent="0.3">
      <c r="A9" s="6">
        <v>46148</v>
      </c>
      <c r="B9" s="6">
        <v>46154</v>
      </c>
      <c r="C9" s="13"/>
      <c r="D9" s="13"/>
      <c r="E9" s="6" t="s">
        <v>18</v>
      </c>
      <c r="F9" s="6" t="s">
        <v>27</v>
      </c>
      <c r="G9" s="6" t="s">
        <v>19</v>
      </c>
      <c r="H9" s="7" t="s">
        <v>29</v>
      </c>
      <c r="I9" s="8" t="s">
        <v>20</v>
      </c>
      <c r="J9" s="8" t="s">
        <v>65</v>
      </c>
      <c r="K9" s="8" t="s">
        <v>66</v>
      </c>
      <c r="L9" s="14"/>
      <c r="M9" s="8" t="s">
        <v>63</v>
      </c>
      <c r="N9" s="9" t="s">
        <v>60</v>
      </c>
      <c r="O9" s="15" t="s">
        <v>61</v>
      </c>
      <c r="P9" s="15" t="s">
        <v>120</v>
      </c>
      <c r="Q9" s="8" t="s">
        <v>62</v>
      </c>
      <c r="R9" s="10">
        <v>4.75</v>
      </c>
      <c r="S9" s="16">
        <v>4.59</v>
      </c>
      <c r="T9" s="11">
        <f>S9/R9-1</f>
        <v>-3.3684210526315872E-2</v>
      </c>
    </row>
    <row r="10" spans="1:20" s="5" customFormat="1" ht="13.8" customHeight="1" x14ac:dyDescent="0.3">
      <c r="A10" s="6">
        <v>46148</v>
      </c>
      <c r="B10" s="6">
        <v>46154</v>
      </c>
      <c r="C10" s="13"/>
      <c r="D10" s="13"/>
      <c r="E10" s="6" t="s">
        <v>18</v>
      </c>
      <c r="F10" s="6" t="s">
        <v>27</v>
      </c>
      <c r="G10" s="6" t="s">
        <v>19</v>
      </c>
      <c r="H10" s="7" t="s">
        <v>29</v>
      </c>
      <c r="I10" s="8" t="s">
        <v>20</v>
      </c>
      <c r="J10" s="8" t="s">
        <v>28</v>
      </c>
      <c r="K10" s="8" t="s">
        <v>67</v>
      </c>
      <c r="L10" s="14"/>
      <c r="M10" s="8" t="s">
        <v>64</v>
      </c>
      <c r="N10" s="9" t="s">
        <v>57</v>
      </c>
      <c r="O10" s="15" t="s">
        <v>58</v>
      </c>
      <c r="P10" s="15" t="s">
        <v>113</v>
      </c>
      <c r="Q10" s="8" t="s">
        <v>59</v>
      </c>
      <c r="R10" s="10">
        <v>2.15</v>
      </c>
      <c r="S10" s="16">
        <v>1.79</v>
      </c>
      <c r="T10" s="11">
        <f>S10/R10-1</f>
        <v>-0.16744186046511622</v>
      </c>
    </row>
    <row r="11" spans="1:20" s="5" customFormat="1" ht="13.8" customHeight="1" x14ac:dyDescent="0.3">
      <c r="A11" s="6">
        <v>46148</v>
      </c>
      <c r="B11" s="6">
        <v>46154</v>
      </c>
      <c r="C11" s="13"/>
      <c r="D11" s="13"/>
      <c r="E11" s="6" t="s">
        <v>69</v>
      </c>
      <c r="F11" s="6" t="s">
        <v>27</v>
      </c>
      <c r="G11" s="6" t="s">
        <v>19</v>
      </c>
      <c r="H11" s="7" t="s">
        <v>76</v>
      </c>
      <c r="I11" s="8" t="s">
        <v>77</v>
      </c>
      <c r="J11" s="8" t="s">
        <v>78</v>
      </c>
      <c r="K11" s="8" t="s">
        <v>75</v>
      </c>
      <c r="L11" s="14"/>
      <c r="M11" s="8" t="s">
        <v>79</v>
      </c>
      <c r="N11" s="9" t="s">
        <v>80</v>
      </c>
      <c r="O11" s="15" t="s">
        <v>81</v>
      </c>
      <c r="P11" s="15" t="s">
        <v>114</v>
      </c>
      <c r="Q11" s="8" t="s">
        <v>82</v>
      </c>
      <c r="R11" s="10">
        <v>4.75</v>
      </c>
      <c r="S11" s="16">
        <v>3.29</v>
      </c>
      <c r="T11" s="11">
        <f>S11/R11-1</f>
        <v>-0.30736842105263162</v>
      </c>
    </row>
    <row r="12" spans="1:20" s="5" customFormat="1" ht="13.8" customHeight="1" x14ac:dyDescent="0.3">
      <c r="A12" s="6">
        <v>46148</v>
      </c>
      <c r="B12" s="6">
        <v>46154</v>
      </c>
      <c r="C12" s="13"/>
      <c r="D12" s="13"/>
      <c r="E12" s="6" t="s">
        <v>69</v>
      </c>
      <c r="F12" s="6" t="s">
        <v>27</v>
      </c>
      <c r="G12" s="6" t="s">
        <v>19</v>
      </c>
      <c r="H12" s="7" t="s">
        <v>76</v>
      </c>
      <c r="I12" s="8" t="s">
        <v>77</v>
      </c>
      <c r="J12" s="8" t="s">
        <v>83</v>
      </c>
      <c r="K12" s="8" t="s">
        <v>70</v>
      </c>
      <c r="L12" s="14"/>
      <c r="M12" s="8" t="s">
        <v>79</v>
      </c>
      <c r="N12" s="9" t="s">
        <v>84</v>
      </c>
      <c r="O12" s="15" t="s">
        <v>85</v>
      </c>
      <c r="P12" s="15" t="s">
        <v>115</v>
      </c>
      <c r="Q12" s="8" t="s">
        <v>86</v>
      </c>
      <c r="R12" s="10">
        <v>11.55</v>
      </c>
      <c r="S12" s="16">
        <v>6.99</v>
      </c>
      <c r="T12" s="11">
        <f>S12/R12-1</f>
        <v>-0.39480519480519483</v>
      </c>
    </row>
    <row r="13" spans="1:20" s="5" customFormat="1" ht="13.8" customHeight="1" x14ac:dyDescent="0.3">
      <c r="A13" s="6">
        <v>46148</v>
      </c>
      <c r="B13" s="6">
        <v>46154</v>
      </c>
      <c r="C13" s="13"/>
      <c r="D13" s="13"/>
      <c r="E13" s="6" t="s">
        <v>69</v>
      </c>
      <c r="F13" s="6" t="s">
        <v>27</v>
      </c>
      <c r="G13" s="6" t="s">
        <v>19</v>
      </c>
      <c r="H13" s="7" t="s">
        <v>76</v>
      </c>
      <c r="I13" s="8" t="s">
        <v>77</v>
      </c>
      <c r="J13" s="8" t="s">
        <v>78</v>
      </c>
      <c r="K13" s="8" t="s">
        <v>74</v>
      </c>
      <c r="L13" s="14"/>
      <c r="M13" s="8" t="s">
        <v>87</v>
      </c>
      <c r="N13" s="9" t="s">
        <v>88</v>
      </c>
      <c r="O13" s="15" t="s">
        <v>89</v>
      </c>
      <c r="P13" s="15" t="s">
        <v>116</v>
      </c>
      <c r="Q13" s="8" t="s">
        <v>90</v>
      </c>
      <c r="R13" s="10">
        <v>2.2000000000000002</v>
      </c>
      <c r="S13" s="16">
        <v>1.49</v>
      </c>
      <c r="T13" s="11">
        <f>S13/R13-1</f>
        <v>-0.32272727272727275</v>
      </c>
    </row>
    <row r="14" spans="1:20" s="5" customFormat="1" ht="13.8" customHeight="1" x14ac:dyDescent="0.3">
      <c r="A14" s="6">
        <v>46148</v>
      </c>
      <c r="B14" s="6">
        <v>46154</v>
      </c>
      <c r="C14" s="13"/>
      <c r="D14" s="13"/>
      <c r="E14" s="6" t="s">
        <v>69</v>
      </c>
      <c r="F14" s="6" t="s">
        <v>27</v>
      </c>
      <c r="G14" s="6" t="s">
        <v>68</v>
      </c>
      <c r="H14" s="7" t="s">
        <v>76</v>
      </c>
      <c r="I14" s="8" t="s">
        <v>77</v>
      </c>
      <c r="J14" s="8" t="s">
        <v>73</v>
      </c>
      <c r="K14" s="8" t="s">
        <v>91</v>
      </c>
      <c r="L14" s="14"/>
      <c r="M14" s="8" t="s">
        <v>92</v>
      </c>
      <c r="N14" s="9" t="s">
        <v>93</v>
      </c>
      <c r="O14" s="15" t="s">
        <v>94</v>
      </c>
      <c r="P14" s="15" t="s">
        <v>117</v>
      </c>
      <c r="Q14" s="8" t="s">
        <v>95</v>
      </c>
      <c r="R14" s="10">
        <v>4.95</v>
      </c>
      <c r="S14" s="16">
        <v>3.49</v>
      </c>
      <c r="T14" s="11">
        <f>S14/R14-1</f>
        <v>-0.29494949494949496</v>
      </c>
    </row>
    <row r="15" spans="1:20" s="5" customFormat="1" ht="13.8" customHeight="1" x14ac:dyDescent="0.3">
      <c r="A15" s="6">
        <v>46148</v>
      </c>
      <c r="B15" s="6">
        <v>46154</v>
      </c>
      <c r="C15" s="13"/>
      <c r="D15" s="13"/>
      <c r="E15" s="6" t="s">
        <v>69</v>
      </c>
      <c r="F15" s="6" t="s">
        <v>27</v>
      </c>
      <c r="G15" s="6" t="s">
        <v>19</v>
      </c>
      <c r="H15" s="7" t="s">
        <v>76</v>
      </c>
      <c r="I15" s="8" t="s">
        <v>77</v>
      </c>
      <c r="J15" s="8" t="s">
        <v>78</v>
      </c>
      <c r="K15" s="8" t="s">
        <v>71</v>
      </c>
      <c r="L15" s="14"/>
      <c r="M15" s="8" t="s">
        <v>79</v>
      </c>
      <c r="N15" s="9" t="s">
        <v>72</v>
      </c>
      <c r="O15" s="15" t="s">
        <v>96</v>
      </c>
      <c r="P15" s="15" t="s">
        <v>118</v>
      </c>
      <c r="Q15" s="8" t="s">
        <v>97</v>
      </c>
      <c r="R15" s="10">
        <v>5.2</v>
      </c>
      <c r="S15" s="16">
        <v>3.49</v>
      </c>
      <c r="T15" s="11">
        <f>S15/R15-1</f>
        <v>-0.32884615384615379</v>
      </c>
    </row>
    <row r="16" spans="1:20" s="5" customFormat="1" ht="13.8" customHeight="1" x14ac:dyDescent="0.3">
      <c r="A16" s="6">
        <v>46148</v>
      </c>
      <c r="B16" s="6">
        <v>46154</v>
      </c>
      <c r="C16" s="13"/>
      <c r="D16" s="13"/>
      <c r="E16" s="6" t="s">
        <v>98</v>
      </c>
      <c r="F16" s="6" t="s">
        <v>27</v>
      </c>
      <c r="G16" s="6" t="s">
        <v>68</v>
      </c>
      <c r="H16" s="7"/>
      <c r="I16" s="8" t="s">
        <v>99</v>
      </c>
      <c r="J16" s="8" t="s">
        <v>100</v>
      </c>
      <c r="K16" s="8" t="s">
        <v>101</v>
      </c>
      <c r="L16" s="14"/>
      <c r="M16" s="8" t="s">
        <v>102</v>
      </c>
      <c r="N16" s="9" t="s">
        <v>103</v>
      </c>
      <c r="O16" s="15" t="s">
        <v>104</v>
      </c>
      <c r="P16" s="15" t="s">
        <v>119</v>
      </c>
      <c r="Q16" s="8" t="s">
        <v>105</v>
      </c>
      <c r="R16" s="10">
        <v>8.9</v>
      </c>
      <c r="S16" s="16">
        <v>5.99</v>
      </c>
      <c r="T16" s="11">
        <f>S16/R16-1</f>
        <v>-0.32696629213483142</v>
      </c>
    </row>
  </sheetData>
  <autoFilter ref="A1:T1" xr:uid="{2B91E848-0D67-4BBD-92B4-6ECB04F01BCF}"/>
  <conditionalFormatting sqref="C2:D7">
    <cfRule type="duplicateValues" dxfId="29" priority="21"/>
    <cfRule type="duplicateValues" dxfId="28" priority="22"/>
    <cfRule type="duplicateValues" dxfId="27" priority="23"/>
    <cfRule type="duplicateValues" dxfId="26" priority="24"/>
  </conditionalFormatting>
  <conditionalFormatting sqref="C8:D10"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C11:D15">
    <cfRule type="duplicateValues" dxfId="21" priority="5"/>
    <cfRule type="duplicateValues" dxfId="20" priority="6"/>
    <cfRule type="duplicateValues" dxfId="19" priority="7"/>
    <cfRule type="duplicateValues" dxfId="18" priority="8"/>
  </conditionalFormatting>
  <conditionalFormatting sqref="C16:D16">
    <cfRule type="duplicateValues" dxfId="17" priority="1"/>
    <cfRule type="duplicateValues" dxfId="16" priority="2"/>
    <cfRule type="duplicateValues" dxfId="15" priority="3"/>
    <cfRule type="duplicateValues" dxfId="14" priority="4"/>
  </conditionalFormatting>
  <conditionalFormatting sqref="N1">
    <cfRule type="duplicateValues" dxfId="13" priority="29"/>
    <cfRule type="duplicateValues" dxfId="12" priority="30"/>
    <cfRule type="duplicateValues" dxfId="11" priority="31"/>
    <cfRule type="duplicateValues" dxfId="10" priority="32"/>
    <cfRule type="duplicateValues" dxfId="9" priority="33"/>
    <cfRule type="duplicateValues" dxfId="8" priority="34"/>
  </conditionalFormatting>
  <conditionalFormatting sqref="N2:N7">
    <cfRule type="duplicateValues" dxfId="7" priority="25"/>
    <cfRule type="duplicateValues" dxfId="6" priority="26"/>
    <cfRule type="duplicateValues" dxfId="5" priority="27"/>
    <cfRule type="duplicateValues" dxfId="4" priority="28"/>
  </conditionalFormatting>
  <conditionalFormatting sqref="N8:N16"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დეილი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Khatia Baramidze</dc:creator>
  <cp:lastModifiedBy>Salome Modebadze</cp:lastModifiedBy>
  <dcterms:created xsi:type="dcterms:W3CDTF">2026-05-05T10:52:43Z</dcterms:created>
  <dcterms:modified xsi:type="dcterms:W3CDTF">2026-05-05T12:52:57Z</dcterms:modified>
</cp:coreProperties>
</file>