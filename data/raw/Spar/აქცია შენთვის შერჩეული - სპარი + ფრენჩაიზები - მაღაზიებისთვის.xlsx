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"/>
    </mc:Choice>
  </mc:AlternateContent>
  <xr:revisionPtr revIDLastSave="0" documentId="13_ncr:1_{51517BD3-7092-48F1-B44E-FC11788C5DA2}" xr6:coauthVersionLast="47" xr6:coauthVersionMax="47" xr10:uidLastSave="{00000000-0000-0000-0000-000000000000}"/>
  <bookViews>
    <workbookView xWindow="-108" yWindow="-108" windowWidth="23256" windowHeight="12576" xr2:uid="{FB1AEA7D-C99F-454B-B574-00DAEDC2923C}"/>
  </bookViews>
  <sheets>
    <sheet name="სპარ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1" l="1"/>
  <c r="S10" i="1"/>
  <c r="S11" i="1"/>
  <c r="S12" i="1"/>
  <c r="S13" i="1"/>
  <c r="S14" i="1"/>
  <c r="S9" i="1" l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<sst xmlns="http://schemas.openxmlformats.org/spreadsheetml/2006/main" count="157" uniqueCount="98">
  <si>
    <t>აქციის დაწყება</t>
  </si>
  <si>
    <t>აქციის დამთავრება</t>
  </si>
  <si>
    <t>გვერდი</t>
  </si>
  <si>
    <t>კატეგორიის მენეჯერი</t>
  </si>
  <si>
    <t>აქციის ტიპი</t>
  </si>
  <si>
    <t>ადგილობრივი/იმპორტი</t>
  </si>
  <si>
    <t>ფორმატი</t>
  </si>
  <si>
    <t>I დონე</t>
  </si>
  <si>
    <t>II დონე</t>
  </si>
  <si>
    <t xml:space="preserve">III დონე </t>
  </si>
  <si>
    <t>ბრენდი</t>
  </si>
  <si>
    <t>მომწოდებელი</t>
  </si>
  <si>
    <t>შტრიხკოდი</t>
  </si>
  <si>
    <t>ID კოდი</t>
  </si>
  <si>
    <t>დასახელება</t>
  </si>
  <si>
    <t>რეგულარი გასაყიდი ფასი</t>
  </si>
  <si>
    <t>სააქციო გასაყიდი</t>
  </si>
  <si>
    <t>მომხმარებლის თაროზე %</t>
  </si>
  <si>
    <t>ხატია ბარამიძე</t>
  </si>
  <si>
    <t>ადგილობრივი</t>
  </si>
  <si>
    <t>ბაკალეა</t>
  </si>
  <si>
    <t>მაკარონი</t>
  </si>
  <si>
    <t>სპაგეტი</t>
  </si>
  <si>
    <t>ფუდსერვისი შპს - ემთიჯი შპს</t>
  </si>
  <si>
    <t>4860101960193</t>
  </si>
  <si>
    <t>00-00004481</t>
  </si>
  <si>
    <t>მაკარონი /სუპრემო სპაგეტი/ 400გრ</t>
  </si>
  <si>
    <t>მაკარონი ფორმებით</t>
  </si>
  <si>
    <t>4860101960186</t>
  </si>
  <si>
    <t>00-00004482</t>
  </si>
  <si>
    <t>მაკარონი /სუპრემო/ 400გრ</t>
  </si>
  <si>
    <t>ვერმიშელი</t>
  </si>
  <si>
    <t>4860101960179</t>
  </si>
  <si>
    <t>00-00023474</t>
  </si>
  <si>
    <t>მაკარონი /სუპრემო ვერმიშელი/ 400გრ</t>
  </si>
  <si>
    <t>ფქვილი</t>
  </si>
  <si>
    <t>ფქვილი ხორბლის</t>
  </si>
  <si>
    <t>ამბარი შპს</t>
  </si>
  <si>
    <t>4860004400468</t>
  </si>
  <si>
    <t>00-00016431</t>
  </si>
  <si>
    <t>ფქვილი /პროგრესი / უმაღლესი ხარისხის/ 2 კგ</t>
  </si>
  <si>
    <t>წიწიბურა</t>
  </si>
  <si>
    <t>წიწიბურა I ხარისხი</t>
  </si>
  <si>
    <t>4860101960124</t>
  </si>
  <si>
    <t>00-00004397</t>
  </si>
  <si>
    <t>წიწიბურა /სუპრემო/ 800გრ</t>
  </si>
  <si>
    <t>მცენარეული ზეთი</t>
  </si>
  <si>
    <t>ზეთი მზესუმზირის</t>
  </si>
  <si>
    <t>ქართული სადისტრიბუციო-მარკეტინგული კომპანია შპს</t>
  </si>
  <si>
    <t>4600699514145</t>
  </si>
  <si>
    <t>01-00001902</t>
  </si>
  <si>
    <t>ზეთი მზესუმზირის/სლობოდა/1ლ</t>
  </si>
  <si>
    <t>შენთვის შერჩეული</t>
  </si>
  <si>
    <t>შაქარი</t>
  </si>
  <si>
    <t>დაფნა შპს</t>
  </si>
  <si>
    <t>4860100530014</t>
  </si>
  <si>
    <t>00-00021364</t>
  </si>
  <si>
    <t>შაქარი/აგარა/1კგ</t>
  </si>
  <si>
    <t>ბრინჯი</t>
  </si>
  <si>
    <t>4760056702339</t>
  </si>
  <si>
    <t>00-00050692</t>
  </si>
  <si>
    <t>ბრინჯი/სულთანი/900 გრ</t>
  </si>
  <si>
    <t>შაქარი თეთრი</t>
  </si>
  <si>
    <t>ბრინჯი ბასმათი</t>
  </si>
  <si>
    <t>იმპორტი</t>
  </si>
  <si>
    <t>ლაშა ნანობაშვილი</t>
  </si>
  <si>
    <t>რძის პროდუქტები</t>
  </si>
  <si>
    <t>მყარი ცხიმები</t>
  </si>
  <si>
    <t>კარაქი</t>
  </si>
  <si>
    <t>რითეილ ჯგუფი შპს</t>
  </si>
  <si>
    <t>3596587200010</t>
  </si>
  <si>
    <t>05-00000529</t>
  </si>
  <si>
    <t>კარაქი / ამორ დე პარის / 200გრ</t>
  </si>
  <si>
    <t>რძემჟავა პროდუქტი</t>
  </si>
  <si>
    <t>ხაჭო</t>
  </si>
  <si>
    <t>ლაქტალის ჯორჯია შპს</t>
  </si>
  <si>
    <t>4860051003889</t>
  </si>
  <si>
    <t>00-00008452</t>
  </si>
  <si>
    <t>ხაჭო /სანტინო/ ჭიქა (6%)180გრ</t>
  </si>
  <si>
    <t>რძე</t>
  </si>
  <si>
    <t>რძე ულტრაპასტერიზებული</t>
  </si>
  <si>
    <t>4860051001298</t>
  </si>
  <si>
    <t>00-00001384</t>
  </si>
  <si>
    <t>რძე /სანტე/ (2.5%) 1ლ</t>
  </si>
  <si>
    <t>მაწონი</t>
  </si>
  <si>
    <t>4860051003872</t>
  </si>
  <si>
    <t>00-00005751</t>
  </si>
  <si>
    <t>მაწონი /სანტინო/ 400გრ</t>
  </si>
  <si>
    <t>არაჟანი</t>
  </si>
  <si>
    <t>4760081602055</t>
  </si>
  <si>
    <t>01-00012478</t>
  </si>
  <si>
    <t>არაჟანი /  მილა  25% / 300გრ</t>
  </si>
  <si>
    <t>მაიკო მირზაშვილი</t>
  </si>
  <si>
    <t>0400 | გაყინული პროდუქტი</t>
  </si>
  <si>
    <t>0409 | გაყინული ფრინველის ხორცი და ნაწილები</t>
  </si>
  <si>
    <t>7893000557949</t>
  </si>
  <si>
    <t>00000000839</t>
  </si>
  <si>
    <t>ქათამი /გაყინული სადია/ 1კგ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</si>
</sst>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Sylfaen"/>
      <family val="1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8"/>
      <name val="Arial"/>
      <family val="2"/>
    </font>
    <font>
      <sz val="10"/>
      <color rgb="FF000000"/>
      <name val="Calibri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F75B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/>
    <xf numFmtId="0" fontId="6" fillId="0" borderId="1" xfId="0" applyFont="1" applyBorder="1"/>
    <xf numFmtId="0" fontId="7" fillId="0" borderId="2" xfId="3" applyBorder="1" applyAlignment="1">
      <alignment horizontal="left" vertical="top" wrapText="1"/>
    </xf>
    <xf numFmtId="43" fontId="9" fillId="0" borderId="3" xfId="1" applyFont="1" applyFill="1" applyBorder="1" applyAlignment="1">
      <alignment horizontal="right" vertical="center"/>
    </xf>
    <xf numFmtId="10" fontId="10" fillId="0" borderId="1" xfId="2" applyNumberFormat="1" applyFont="1" applyFill="1" applyBorder="1" applyAlignment="1" applyProtection="1">
      <alignment horizontal="center" vertical="center"/>
    </xf>
    <xf numFmtId="0" fontId="5" fillId="0" borderId="0" xfId="0" applyFont="1"/>
    <xf numFmtId="0" fontId="8" fillId="0" borderId="1" xfId="0" applyFont="1" applyBorder="1"/>
    <xf numFmtId="2" fontId="2" fillId="0" borderId="1" xfId="0" applyNumberFormat="1" applyFont="1" applyBorder="1"/>
  </cellXfs>
  <cellStyles count="4">
    <cellStyle name="Comma" xfId="1" builtinId="3"/>
    <cellStyle name="Normal" xfId="0" builtinId="0"/>
    <cellStyle name="Normal_PROMO" xfId="3" xr:uid="{D169E8F8-A341-4172-AC21-F6217E12CBD8}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130E-1D2A-45F0-AA22-91F6E1DD946D}">
  <dimension ref="A1:S15"/>
  <sheetViews>
    <sheetView tabSelected="1" workbookViewId="0">
      <selection activeCell="T1" sqref="T1:AK1048576"/>
    </sheetView>
  </sheetViews>
  <sheetFormatPr defaultRowHeight="14.4" x14ac:dyDescent="0.3"/>
  <cols>
    <col min="1" max="1" width="7.21875" bestFit="1" customWidth="1"/>
    <col min="2" max="2" width="9.5546875" customWidth="1"/>
    <col min="3" max="3" width="5.88671875" bestFit="1" customWidth="1"/>
    <col min="4" max="4" width="5.88671875" customWidth="1"/>
    <col min="5" max="5" width="15.33203125" bestFit="1" customWidth="1"/>
    <col min="6" max="6" width="17.109375" customWidth="1"/>
    <col min="7" max="7" width="12.109375" bestFit="1" customWidth="1"/>
    <col min="8" max="8" width="7.44140625" bestFit="1" customWidth="1"/>
    <col min="9" max="9" width="6.21875" bestFit="1" customWidth="1"/>
    <col min="10" max="10" width="7" bestFit="1" customWidth="1"/>
    <col min="11" max="11" width="14.6640625" bestFit="1" customWidth="1"/>
    <col min="12" max="12" width="6" bestFit="1" customWidth="1"/>
    <col min="13" max="13" width="20.21875" bestFit="1" customWidth="1"/>
    <col min="14" max="14" width="10.88671875" bestFit="1" customWidth="1"/>
    <col min="15" max="15" width="9" bestFit="1" customWidth="1"/>
    <col min="16" max="16" width="41.88671875" bestFit="1" customWidth="1"/>
  </cols>
  <sheetData>
    <row r="1" spans="1:19" s="6" customFormat="1" ht="55.8" customHeight="1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4" t="s">
        <v>16</v>
      </c>
      <c r="S1" s="5" t="s">
        <v>17</v>
      </c>
    </row>
    <row r="2" spans="1:19" s="16" customFormat="1" ht="12" customHeight="1" x14ac:dyDescent="0.3">
      <c r="A2" s="8">
        <v>46148</v>
      </c>
      <c r="B2" s="8">
        <v>46154</v>
      </c>
      <c r="C2" s="7"/>
      <c r="D2" s="7"/>
      <c r="E2" s="8" t="s">
        <v>18</v>
      </c>
      <c r="F2" s="8" t="s">
        <v>52</v>
      </c>
      <c r="G2" s="8" t="s">
        <v>19</v>
      </c>
      <c r="H2" s="9">
        <v>282</v>
      </c>
      <c r="I2" s="10" t="s">
        <v>20</v>
      </c>
      <c r="J2" s="10" t="s">
        <v>21</v>
      </c>
      <c r="K2" s="11" t="s">
        <v>22</v>
      </c>
      <c r="L2" s="11"/>
      <c r="M2" s="12" t="s">
        <v>23</v>
      </c>
      <c r="N2" s="13" t="s">
        <v>24</v>
      </c>
      <c r="O2" s="10" t="s">
        <v>25</v>
      </c>
      <c r="P2" s="17" t="s">
        <v>26</v>
      </c>
      <c r="Q2" s="14">
        <v>3.25</v>
      </c>
      <c r="R2" s="18">
        <v>1.29</v>
      </c>
      <c r="S2" s="15">
        <f>R2/Q2-1</f>
        <v>-0.60307692307692307</v>
      </c>
    </row>
    <row r="3" spans="1:19" s="16" customFormat="1" ht="12" customHeight="1" x14ac:dyDescent="0.3">
      <c r="A3" s="8">
        <v>46148</v>
      </c>
      <c r="B3" s="8">
        <v>46154</v>
      </c>
      <c r="C3" s="7"/>
      <c r="D3" s="7"/>
      <c r="E3" s="8" t="s">
        <v>18</v>
      </c>
      <c r="F3" s="8" t="s">
        <v>52</v>
      </c>
      <c r="G3" s="8" t="s">
        <v>19</v>
      </c>
      <c r="H3" s="9">
        <v>282</v>
      </c>
      <c r="I3" s="10" t="s">
        <v>20</v>
      </c>
      <c r="J3" s="10" t="s">
        <v>21</v>
      </c>
      <c r="K3" s="11" t="s">
        <v>27</v>
      </c>
      <c r="L3" s="11"/>
      <c r="M3" s="12" t="s">
        <v>23</v>
      </c>
      <c r="N3" s="13" t="s">
        <v>28</v>
      </c>
      <c r="O3" s="10" t="s">
        <v>29</v>
      </c>
      <c r="P3" s="17" t="s">
        <v>30</v>
      </c>
      <c r="Q3" s="14">
        <v>3.25</v>
      </c>
      <c r="R3" s="18">
        <v>1.29</v>
      </c>
      <c r="S3" s="15">
        <f>R3/Q3-1</f>
        <v>-0.60307692307692307</v>
      </c>
    </row>
    <row r="4" spans="1:19" s="16" customFormat="1" ht="12" customHeight="1" x14ac:dyDescent="0.3">
      <c r="A4" s="8">
        <v>46148</v>
      </c>
      <c r="B4" s="8">
        <v>46154</v>
      </c>
      <c r="C4" s="7"/>
      <c r="D4" s="7"/>
      <c r="E4" s="8" t="s">
        <v>18</v>
      </c>
      <c r="F4" s="8" t="s">
        <v>52</v>
      </c>
      <c r="G4" s="8" t="s">
        <v>19</v>
      </c>
      <c r="H4" s="9">
        <v>234</v>
      </c>
      <c r="I4" s="10" t="s">
        <v>20</v>
      </c>
      <c r="J4" s="10" t="s">
        <v>21</v>
      </c>
      <c r="K4" s="11" t="s">
        <v>31</v>
      </c>
      <c r="L4" s="11"/>
      <c r="M4" s="12" t="s">
        <v>23</v>
      </c>
      <c r="N4" s="13" t="s">
        <v>32</v>
      </c>
      <c r="O4" s="10" t="s">
        <v>33</v>
      </c>
      <c r="P4" s="17" t="s">
        <v>34</v>
      </c>
      <c r="Q4" s="14">
        <v>3.25</v>
      </c>
      <c r="R4" s="18">
        <v>1.29</v>
      </c>
      <c r="S4" s="15">
        <f>R4/Q4-1</f>
        <v>-0.60307692307692307</v>
      </c>
    </row>
    <row r="5" spans="1:19" s="16" customFormat="1" ht="12" customHeight="1" x14ac:dyDescent="0.3">
      <c r="A5" s="8">
        <v>46148</v>
      </c>
      <c r="B5" s="8">
        <v>46154</v>
      </c>
      <c r="C5" s="7"/>
      <c r="D5" s="7"/>
      <c r="E5" s="8" t="s">
        <v>18</v>
      </c>
      <c r="F5" s="8" t="s">
        <v>52</v>
      </c>
      <c r="G5" s="8" t="s">
        <v>19</v>
      </c>
      <c r="H5" s="9">
        <v>308</v>
      </c>
      <c r="I5" s="10" t="s">
        <v>20</v>
      </c>
      <c r="J5" s="10" t="s">
        <v>35</v>
      </c>
      <c r="K5" s="11" t="s">
        <v>36</v>
      </c>
      <c r="L5" s="11"/>
      <c r="M5" s="12" t="s">
        <v>37</v>
      </c>
      <c r="N5" s="13" t="s">
        <v>38</v>
      </c>
      <c r="O5" s="10" t="s">
        <v>39</v>
      </c>
      <c r="P5" s="17" t="s">
        <v>40</v>
      </c>
      <c r="Q5" s="14">
        <v>8.99</v>
      </c>
      <c r="R5" s="18">
        <v>5.99</v>
      </c>
      <c r="S5" s="15">
        <f>R5/Q5-1</f>
        <v>-0.33370411568409342</v>
      </c>
    </row>
    <row r="6" spans="1:19" s="16" customFormat="1" ht="12" customHeight="1" x14ac:dyDescent="0.3">
      <c r="A6" s="8">
        <v>46148</v>
      </c>
      <c r="B6" s="8">
        <v>46154</v>
      </c>
      <c r="C6" s="7"/>
      <c r="D6" s="7"/>
      <c r="E6" s="8" t="s">
        <v>18</v>
      </c>
      <c r="F6" s="8" t="s">
        <v>52</v>
      </c>
      <c r="G6" s="8" t="s">
        <v>19</v>
      </c>
      <c r="H6" s="9">
        <v>281</v>
      </c>
      <c r="I6" s="10" t="s">
        <v>20</v>
      </c>
      <c r="J6" s="10" t="s">
        <v>41</v>
      </c>
      <c r="K6" s="11" t="s">
        <v>42</v>
      </c>
      <c r="L6" s="11"/>
      <c r="M6" s="12" t="s">
        <v>23</v>
      </c>
      <c r="N6" s="13" t="s">
        <v>43</v>
      </c>
      <c r="O6" s="10" t="s">
        <v>44</v>
      </c>
      <c r="P6" s="17" t="s">
        <v>45</v>
      </c>
      <c r="Q6" s="14">
        <v>5.15</v>
      </c>
      <c r="R6" s="18">
        <v>2.19</v>
      </c>
      <c r="S6" s="15">
        <f>R6/Q6-1</f>
        <v>-0.57475728155339811</v>
      </c>
    </row>
    <row r="7" spans="1:19" s="16" customFormat="1" ht="12" customHeight="1" x14ac:dyDescent="0.3">
      <c r="A7" s="8">
        <v>46148</v>
      </c>
      <c r="B7" s="8">
        <v>46154</v>
      </c>
      <c r="C7" s="7"/>
      <c r="D7" s="7"/>
      <c r="E7" s="8" t="s">
        <v>18</v>
      </c>
      <c r="F7" s="8" t="s">
        <v>52</v>
      </c>
      <c r="G7" s="8" t="s">
        <v>19</v>
      </c>
      <c r="H7" s="9">
        <v>282</v>
      </c>
      <c r="I7" s="10" t="s">
        <v>20</v>
      </c>
      <c r="J7" s="10" t="s">
        <v>46</v>
      </c>
      <c r="K7" s="11" t="s">
        <v>47</v>
      </c>
      <c r="L7" s="11"/>
      <c r="M7" s="12" t="s">
        <v>48</v>
      </c>
      <c r="N7" s="13" t="s">
        <v>49</v>
      </c>
      <c r="O7" s="10" t="s">
        <v>50</v>
      </c>
      <c r="P7" s="17" t="s">
        <v>51</v>
      </c>
      <c r="Q7" s="14">
        <v>7.6</v>
      </c>
      <c r="R7" s="18">
        <v>5.79</v>
      </c>
      <c r="S7" s="15">
        <f>R7/Q7-1</f>
        <v>-0.23815789473684201</v>
      </c>
    </row>
    <row r="8" spans="1:19" s="16" customFormat="1" ht="12" customHeight="1" x14ac:dyDescent="0.3">
      <c r="A8" s="8">
        <v>46148</v>
      </c>
      <c r="B8" s="8">
        <v>46154</v>
      </c>
      <c r="C8" s="7"/>
      <c r="D8" s="7"/>
      <c r="E8" s="8" t="s">
        <v>18</v>
      </c>
      <c r="F8" s="8" t="s">
        <v>52</v>
      </c>
      <c r="G8" s="8" t="s">
        <v>19</v>
      </c>
      <c r="H8" s="9">
        <v>282</v>
      </c>
      <c r="I8" s="10" t="s">
        <v>20</v>
      </c>
      <c r="J8" s="10" t="s">
        <v>53</v>
      </c>
      <c r="K8" s="11" t="s">
        <v>62</v>
      </c>
      <c r="L8" s="11"/>
      <c r="M8" s="12" t="s">
        <v>54</v>
      </c>
      <c r="N8" s="13" t="s">
        <v>55</v>
      </c>
      <c r="O8" s="10" t="s">
        <v>56</v>
      </c>
      <c r="P8" s="17" t="s">
        <v>57</v>
      </c>
      <c r="Q8" s="14">
        <v>3.95</v>
      </c>
      <c r="R8" s="18">
        <v>2.29</v>
      </c>
      <c r="S8" s="15">
        <f>R8/Q8-1</f>
        <v>-0.42025316455696204</v>
      </c>
    </row>
    <row r="9" spans="1:19" s="16" customFormat="1" ht="12" customHeight="1" x14ac:dyDescent="0.3">
      <c r="A9" s="8">
        <v>46148</v>
      </c>
      <c r="B9" s="8">
        <v>46154</v>
      </c>
      <c r="C9" s="7"/>
      <c r="D9" s="7"/>
      <c r="E9" s="8" t="s">
        <v>18</v>
      </c>
      <c r="F9" s="8" t="s">
        <v>52</v>
      </c>
      <c r="G9" s="8" t="s">
        <v>19</v>
      </c>
      <c r="H9" s="9">
        <v>281</v>
      </c>
      <c r="I9" s="10" t="s">
        <v>20</v>
      </c>
      <c r="J9" s="10" t="s">
        <v>58</v>
      </c>
      <c r="K9" s="11" t="s">
        <v>63</v>
      </c>
      <c r="L9" s="11"/>
      <c r="M9" s="12" t="s">
        <v>54</v>
      </c>
      <c r="N9" s="13" t="s">
        <v>59</v>
      </c>
      <c r="O9" s="10" t="s">
        <v>60</v>
      </c>
      <c r="P9" s="17" t="s">
        <v>61</v>
      </c>
      <c r="Q9" s="14">
        <v>11.99</v>
      </c>
      <c r="R9" s="18">
        <v>6.49</v>
      </c>
      <c r="S9" s="15">
        <f>R9/Q9-1</f>
        <v>-0.45871559633027525</v>
      </c>
    </row>
    <row r="10" spans="1:19" s="16" customFormat="1" ht="12" customHeight="1" x14ac:dyDescent="0.3">
      <c r="A10" s="8">
        <v>46148</v>
      </c>
      <c r="B10" s="8">
        <v>46154</v>
      </c>
      <c r="C10" s="7"/>
      <c r="D10" s="7"/>
      <c r="E10" s="8" t="s">
        <v>65</v>
      </c>
      <c r="F10" s="8" t="s">
        <v>52</v>
      </c>
      <c r="G10" s="8" t="s">
        <v>64</v>
      </c>
      <c r="H10" s="9">
        <v>279</v>
      </c>
      <c r="I10" s="10" t="s">
        <v>66</v>
      </c>
      <c r="J10" s="10" t="s">
        <v>67</v>
      </c>
      <c r="K10" s="11" t="s">
        <v>68</v>
      </c>
      <c r="L10" s="11"/>
      <c r="M10" s="12" t="s">
        <v>69</v>
      </c>
      <c r="N10" s="13" t="s">
        <v>70</v>
      </c>
      <c r="O10" s="10" t="s">
        <v>71</v>
      </c>
      <c r="P10" s="17" t="s">
        <v>72</v>
      </c>
      <c r="Q10" s="14">
        <v>9.9499999999999993</v>
      </c>
      <c r="R10" s="18">
        <v>5.99</v>
      </c>
      <c r="S10" s="15">
        <f>R10/Q10-1</f>
        <v>-0.39798994974874369</v>
      </c>
    </row>
    <row r="11" spans="1:19" s="16" customFormat="1" ht="12" customHeight="1" x14ac:dyDescent="0.3">
      <c r="A11" s="8">
        <v>46148</v>
      </c>
      <c r="B11" s="8">
        <v>46154</v>
      </c>
      <c r="C11" s="7"/>
      <c r="D11" s="7"/>
      <c r="E11" s="8" t="s">
        <v>65</v>
      </c>
      <c r="F11" s="8" t="s">
        <v>52</v>
      </c>
      <c r="G11" s="8" t="s">
        <v>19</v>
      </c>
      <c r="H11" s="9">
        <v>279</v>
      </c>
      <c r="I11" s="10" t="s">
        <v>66</v>
      </c>
      <c r="J11" s="10" t="s">
        <v>73</v>
      </c>
      <c r="K11" s="11" t="s">
        <v>74</v>
      </c>
      <c r="L11" s="11"/>
      <c r="M11" s="12" t="s">
        <v>75</v>
      </c>
      <c r="N11" s="13" t="s">
        <v>76</v>
      </c>
      <c r="O11" s="10" t="s">
        <v>77</v>
      </c>
      <c r="P11" s="17" t="s">
        <v>78</v>
      </c>
      <c r="Q11" s="14">
        <v>5.2</v>
      </c>
      <c r="R11" s="18">
        <v>3.49</v>
      </c>
      <c r="S11" s="15">
        <f>R11/Q11-1</f>
        <v>-0.32884615384615379</v>
      </c>
    </row>
    <row r="12" spans="1:19" s="16" customFormat="1" ht="12" customHeight="1" x14ac:dyDescent="0.3">
      <c r="A12" s="8">
        <v>46148</v>
      </c>
      <c r="B12" s="8">
        <v>46154</v>
      </c>
      <c r="C12" s="7"/>
      <c r="D12" s="7"/>
      <c r="E12" s="8" t="s">
        <v>65</v>
      </c>
      <c r="F12" s="8" t="s">
        <v>52</v>
      </c>
      <c r="G12" s="8" t="s">
        <v>19</v>
      </c>
      <c r="H12" s="9">
        <v>279</v>
      </c>
      <c r="I12" s="10" t="s">
        <v>66</v>
      </c>
      <c r="J12" s="10" t="s">
        <v>79</v>
      </c>
      <c r="K12" s="11" t="s">
        <v>80</v>
      </c>
      <c r="L12" s="11"/>
      <c r="M12" s="12" t="s">
        <v>75</v>
      </c>
      <c r="N12" s="13" t="s">
        <v>81</v>
      </c>
      <c r="O12" s="10" t="s">
        <v>82</v>
      </c>
      <c r="P12" s="17" t="s">
        <v>83</v>
      </c>
      <c r="Q12" s="14">
        <v>5.7</v>
      </c>
      <c r="R12" s="18">
        <v>3.79</v>
      </c>
      <c r="S12" s="15">
        <f>R12/Q12-1</f>
        <v>-0.33508771929824566</v>
      </c>
    </row>
    <row r="13" spans="1:19" s="16" customFormat="1" ht="12" customHeight="1" x14ac:dyDescent="0.3">
      <c r="A13" s="8">
        <v>46148</v>
      </c>
      <c r="B13" s="8">
        <v>46154</v>
      </c>
      <c r="C13" s="7"/>
      <c r="D13" s="7"/>
      <c r="E13" s="8" t="s">
        <v>65</v>
      </c>
      <c r="F13" s="8" t="s">
        <v>52</v>
      </c>
      <c r="G13" s="8" t="s">
        <v>19</v>
      </c>
      <c r="H13" s="9">
        <v>279</v>
      </c>
      <c r="I13" s="10" t="s">
        <v>66</v>
      </c>
      <c r="J13" s="10" t="s">
        <v>73</v>
      </c>
      <c r="K13" s="11" t="s">
        <v>84</v>
      </c>
      <c r="L13" s="11"/>
      <c r="M13" s="12" t="s">
        <v>75</v>
      </c>
      <c r="N13" s="13" t="s">
        <v>85</v>
      </c>
      <c r="O13" s="10" t="s">
        <v>86</v>
      </c>
      <c r="P13" s="17" t="s">
        <v>87</v>
      </c>
      <c r="Q13" s="14">
        <v>2.95</v>
      </c>
      <c r="R13" s="18">
        <v>2.09</v>
      </c>
      <c r="S13" s="15">
        <f>R13/Q13-1</f>
        <v>-0.29152542372881363</v>
      </c>
    </row>
    <row r="14" spans="1:19" s="16" customFormat="1" ht="12" customHeight="1" x14ac:dyDescent="0.3">
      <c r="A14" s="8">
        <v>46148</v>
      </c>
      <c r="B14" s="8">
        <v>46154</v>
      </c>
      <c r="C14" s="7"/>
      <c r="D14" s="7"/>
      <c r="E14" s="8" t="s">
        <v>65</v>
      </c>
      <c r="F14" s="8" t="s">
        <v>52</v>
      </c>
      <c r="G14" s="8" t="s">
        <v>19</v>
      </c>
      <c r="H14" s="9">
        <v>248</v>
      </c>
      <c r="I14" s="10" t="s">
        <v>66</v>
      </c>
      <c r="J14" s="10" t="s">
        <v>73</v>
      </c>
      <c r="K14" s="11" t="s">
        <v>88</v>
      </c>
      <c r="L14" s="11"/>
      <c r="M14" s="12" t="s">
        <v>23</v>
      </c>
      <c r="N14" s="13" t="s">
        <v>89</v>
      </c>
      <c r="O14" s="10" t="s">
        <v>90</v>
      </c>
      <c r="P14" s="17" t="s">
        <v>91</v>
      </c>
      <c r="Q14" s="14">
        <v>4.3</v>
      </c>
      <c r="R14" s="18">
        <v>2.59</v>
      </c>
      <c r="S14" s="15">
        <f>R14/Q14-1</f>
        <v>-0.39767441860465114</v>
      </c>
    </row>
    <row r="15" spans="1:19" s="16" customFormat="1" ht="12" customHeight="1" x14ac:dyDescent="0.3">
      <c r="A15" s="8">
        <v>46148</v>
      </c>
      <c r="B15" s="8">
        <v>46154</v>
      </c>
      <c r="C15" s="7"/>
      <c r="D15" s="7"/>
      <c r="E15" s="8" t="s">
        <v>92</v>
      </c>
      <c r="F15" s="8" t="s">
        <v>52</v>
      </c>
      <c r="G15" s="8" t="s">
        <v>19</v>
      </c>
      <c r="H15" s="9">
        <v>281</v>
      </c>
      <c r="I15" s="10" t="s">
        <v>93</v>
      </c>
      <c r="J15" s="10" t="s">
        <v>94</v>
      </c>
      <c r="K15" s="11"/>
      <c r="L15" s="11"/>
      <c r="M15" s="12" t="s">
        <v>23</v>
      </c>
      <c r="N15" s="13" t="s">
        <v>95</v>
      </c>
      <c r="O15" s="10" t="s">
        <v>96</v>
      </c>
      <c r="P15" s="17" t="s">
        <v>97</v>
      </c>
      <c r="Q15" s="14">
        <v>10.95</v>
      </c>
      <c r="R15" s="18">
        <v>7.99</v>
      </c>
      <c r="S15" s="15">
        <f>R15/Q15-1</f>
        <v>-0.27031963470319631</v>
      </c>
    </row>
  </sheetData>
  <conditionalFormatting sqref="N1">
    <cfRule type="duplicateValues" dxfId="21" priority="17"/>
    <cfRule type="duplicateValues" dxfId="20" priority="18"/>
    <cfRule type="duplicateValues" dxfId="19" priority="19"/>
    <cfRule type="duplicateValues" dxfId="18" priority="20"/>
    <cfRule type="duplicateValues" dxfId="17" priority="21"/>
    <cfRule type="duplicateValues" dxfId="16" priority="22"/>
  </conditionalFormatting>
  <conditionalFormatting sqref="N2:N6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N7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N8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N9:N1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სპარი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Khatia Baramidze</dc:creator>
  <cp:lastModifiedBy>Salome Modebadze</cp:lastModifiedBy>
  <dcterms:created xsi:type="dcterms:W3CDTF">2026-05-05T10:52:43Z</dcterms:created>
  <dcterms:modified xsi:type="dcterms:W3CDTF">2026-05-05T12:54:21Z</dcterms:modified>
</cp:coreProperties>
</file>