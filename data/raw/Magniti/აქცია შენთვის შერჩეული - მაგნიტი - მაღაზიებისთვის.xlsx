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modebadze\OneDrive - JSC Foodmart\Desktop\რეესტრი\"/>
    </mc:Choice>
  </mc:AlternateContent>
  <xr:revisionPtr revIDLastSave="0" documentId="13_ncr:1_{FDC0D614-E499-4B40-97B9-AACC8D45A36D}" xr6:coauthVersionLast="47" xr6:coauthVersionMax="47" xr10:uidLastSave="{00000000-0000-0000-0000-000000000000}"/>
  <bookViews>
    <workbookView xWindow="-108" yWindow="-108" windowWidth="23256" windowHeight="12576" xr2:uid="{FB1AEA7D-C99F-454B-B574-00DAEDC2923C}"/>
  </bookViews>
  <sheets>
    <sheet name="მაგნიტი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3" l="1"/>
  <c r="S11" i="3"/>
  <c r="S12" i="3"/>
  <c r="S13" i="3"/>
  <c r="S14" i="3"/>
  <c r="S15" i="3"/>
  <c r="S16" i="3"/>
  <c r="S10" i="3"/>
  <c r="S9" i="3"/>
  <c r="S8" i="3"/>
  <c r="S4" i="3"/>
  <c r="S5" i="3"/>
  <c r="S6" i="3"/>
  <c r="S7" i="3"/>
  <c r="S3" i="3" l="1"/>
  <c r="S2" i="3"/>
</calcChain>
</file>

<file path=xl/sharedStrings.xml><?xml version="1.0" encoding="utf-8"?>
<sst xmlns="http://schemas.openxmlformats.org/spreadsheetml/2006/main" count="184" uniqueCount="111">
  <si>
    <t>აქციის დაწყება</t>
  </si>
  <si>
    <t>აქციის დამთავრება</t>
  </si>
  <si>
    <t>გვერდი</t>
  </si>
  <si>
    <t>კატეგორიის მენეჯერი</t>
  </si>
  <si>
    <t>აქციის ტიპი</t>
  </si>
  <si>
    <t>ადგილობრივი/იმპორტი</t>
  </si>
  <si>
    <t>ფორმატი</t>
  </si>
  <si>
    <t>I დონე</t>
  </si>
  <si>
    <t>II დონე</t>
  </si>
  <si>
    <t xml:space="preserve">III დონე </t>
  </si>
  <si>
    <t>ბრენდი</t>
  </si>
  <si>
    <t>მომწოდებელი</t>
  </si>
  <si>
    <t>შტრიხკოდი</t>
  </si>
  <si>
    <t>ID კოდი</t>
  </si>
  <si>
    <t>დასახელება</t>
  </si>
  <si>
    <t>რეგულარი გასაყიდი ფასი</t>
  </si>
  <si>
    <t>სააქციო გასაყიდი</t>
  </si>
  <si>
    <t>მომხმარებლის თაროზე %</t>
  </si>
  <si>
    <t>ხატია ბარამიძე</t>
  </si>
  <si>
    <t>ადგილობრივი</t>
  </si>
  <si>
    <t>ბაკალეა</t>
  </si>
  <si>
    <t>მაკარონი</t>
  </si>
  <si>
    <t>სპაგეტი</t>
  </si>
  <si>
    <t>ვერმიშელი</t>
  </si>
  <si>
    <t>ფქვილი</t>
  </si>
  <si>
    <t>4860004400468</t>
  </si>
  <si>
    <t>წიწიბურა</t>
  </si>
  <si>
    <t>4860101960124</t>
  </si>
  <si>
    <t>წიწიბურა /სუპრემო/ 800გრ</t>
  </si>
  <si>
    <t>შენთვის შერჩეული</t>
  </si>
  <si>
    <t>შაქარი</t>
  </si>
  <si>
    <t>ბრინჯი</t>
  </si>
  <si>
    <t>დაფნა</t>
  </si>
  <si>
    <t>4760165250059</t>
  </si>
  <si>
    <t>მაკარონი /სავილე/ სპაგეტი 500 გრ სამარხვო</t>
  </si>
  <si>
    <t>4760165250028</t>
  </si>
  <si>
    <t>მაკარონი /სავილე/ ვერმიშელი 500გრ სამარხვო</t>
  </si>
  <si>
    <t>მაკარონი ფორმებით</t>
  </si>
  <si>
    <t>4760165250103</t>
  </si>
  <si>
    <t>მაკარონი /სავილე/ კალამი 500 გრ სამარხვი</t>
  </si>
  <si>
    <t>4760165250066</t>
  </si>
  <si>
    <t>მაკარონი /სავილე/  სპირალი 500 გრ სამარხვო</t>
  </si>
  <si>
    <t>წიწიბურა I ხარისხი</t>
  </si>
  <si>
    <t>ფქვილი ხორბლის</t>
  </si>
  <si>
    <t>ამბარი</t>
  </si>
  <si>
    <t>00-00010875</t>
  </si>
  <si>
    <t>ფქვილი /პროგრესი/ დაფასოებული 2 კგ.</t>
  </si>
  <si>
    <t>ზეთი მზესუმზირის/ზალატოი კუვშინ/1ლ</t>
  </si>
  <si>
    <t>OOO TK BLAGO</t>
  </si>
  <si>
    <t>ჯიბე</t>
  </si>
  <si>
    <t>მცენარეული ზეთი</t>
  </si>
  <si>
    <t>ზეთი მზესუმზირის</t>
  </si>
  <si>
    <t>შაქარი თეთრი</t>
  </si>
  <si>
    <t>იმპორტი</t>
  </si>
  <si>
    <t>4860114950099</t>
  </si>
  <si>
    <t>E17E948268</t>
  </si>
  <si>
    <t>შაქარი დაფასოებული 1 კგ</t>
  </si>
  <si>
    <t>B701B1ED5D</t>
  </si>
  <si>
    <t>4607014780186</t>
  </si>
  <si>
    <t>388DB823A0</t>
  </si>
  <si>
    <t>0414827CBC</t>
  </si>
  <si>
    <t>6AC5617072</t>
  </si>
  <si>
    <t>194D052276</t>
  </si>
  <si>
    <t>შპს ფუდსერვისი</t>
  </si>
  <si>
    <t>F540249345</t>
  </si>
  <si>
    <t>ბრინჯი ბასმათი</t>
  </si>
  <si>
    <t>4860100262212</t>
  </si>
  <si>
    <t>D8CB5034B9</t>
  </si>
  <si>
    <t>ბრინჯი /სულთან ბასმათი / 1კგ</t>
  </si>
  <si>
    <t>ლაშა ნანობაშვილი</t>
  </si>
  <si>
    <t>კარაქი</t>
  </si>
  <si>
    <t>ხაჭო</t>
  </si>
  <si>
    <t>რძე</t>
  </si>
  <si>
    <t>მაწონი</t>
  </si>
  <si>
    <t>არაჟანი</t>
  </si>
  <si>
    <t>I კლასტერი</t>
  </si>
  <si>
    <t>რძის პროდუქტები</t>
  </si>
  <si>
    <t>რძემჟავა პროდუქტი</t>
  </si>
  <si>
    <t>ლაქტალის ჯორჯია</t>
  </si>
  <si>
    <t>4860051004961</t>
  </si>
  <si>
    <t xml:space="preserve">979A49B6F6 </t>
  </si>
  <si>
    <t>არაჟანი /სანტე/ ნაღებით 400გრ</t>
  </si>
  <si>
    <t>მყარი ცხიმები</t>
  </si>
  <si>
    <t>ქართული რძის პროდუქტები</t>
  </si>
  <si>
    <t>4860004211828</t>
  </si>
  <si>
    <t xml:space="preserve">9C2FC66EE9 </t>
  </si>
  <si>
    <t>მაწონი / სვანური / 3.2% / 350გრ</t>
  </si>
  <si>
    <t>რძე ულტრაპასტერიზებული</t>
  </si>
  <si>
    <t>ექსპრესი</t>
  </si>
  <si>
    <t>შპს დეილი</t>
  </si>
  <si>
    <t>4810729019643</t>
  </si>
  <si>
    <t>00-00012927</t>
  </si>
  <si>
    <t>კარაქი /იას ბელოუსი/ ნაღების 82.5%</t>
  </si>
  <si>
    <t>4810729016512</t>
  </si>
  <si>
    <t>00-00012926</t>
  </si>
  <si>
    <t>რძე /იას ბელოუსი/ ულტრაპასტერიზებული 2.5%</t>
  </si>
  <si>
    <t>4810729016529</t>
  </si>
  <si>
    <t>00-00012925</t>
  </si>
  <si>
    <t>რძე /იას ბელოუსი/ ულტრაპასტერიზებული 3.2%</t>
  </si>
  <si>
    <t>III კლასტერი</t>
  </si>
  <si>
    <t>4860051004978</t>
  </si>
  <si>
    <t xml:space="preserve">ABFEC07E10 </t>
  </si>
  <si>
    <t>ხაჭო 'სანტე' ნაღებით 180გრ</t>
  </si>
  <si>
    <t>მაიკო მირზაშვილი</t>
  </si>
  <si>
    <t>7893000557949</t>
  </si>
  <si>
    <t>ქათამი /გაყინული სადია/ 1კგ</t>
  </si>
  <si>
    <t>გაყინული პროდუქტები</t>
  </si>
  <si>
    <t>გაყინული ფრინველის ხორცი</t>
  </si>
  <si>
    <t>გაყინული ქათამი</t>
  </si>
  <si>
    <t>ფუდსერვისი (406254146)</t>
  </si>
  <si>
    <t>00-00012476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</si>
</sst>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Sylfaen"/>
      <family val="1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  <font>
      <sz val="8"/>
      <color theme="1"/>
      <name val="Arial"/>
      <family val="2"/>
      <charset val="204"/>
    </font>
    <font>
      <sz val="8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2F75B5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2" xfId="3" applyBorder="1" applyAlignment="1">
      <alignment horizontal="left" vertical="top" wrapText="1"/>
    </xf>
    <xf numFmtId="43" fontId="8" fillId="0" borderId="3" xfId="1" applyFont="1" applyFill="1" applyBorder="1" applyAlignment="1">
      <alignment horizontal="right" vertical="center"/>
    </xf>
    <xf numFmtId="10" fontId="9" fillId="0" borderId="1" xfId="2" applyNumberFormat="1" applyFont="1" applyFill="1" applyBorder="1" applyAlignment="1" applyProtection="1">
      <alignment horizontal="center" vertical="center"/>
    </xf>
    <xf numFmtId="0" fontId="5" fillId="0" borderId="0" xfId="0" applyFont="1"/>
    <xf numFmtId="0" fontId="7" fillId="0" borderId="2" xfId="3" applyBorder="1" applyAlignment="1">
      <alignment horizontal="center" vertical="top" wrapText="1"/>
    </xf>
    <xf numFmtId="0" fontId="3" fillId="0" borderId="1" xfId="0" applyFont="1" applyBorder="1"/>
    <xf numFmtId="0" fontId="6" fillId="0" borderId="1" xfId="0" applyFont="1" applyBorder="1" applyAlignment="1">
      <alignment horizontal="left"/>
    </xf>
    <xf numFmtId="0" fontId="2" fillId="0" borderId="1" xfId="0" applyFont="1" applyBorder="1"/>
    <xf numFmtId="0" fontId="10" fillId="0" borderId="0" xfId="0" applyFont="1"/>
    <xf numFmtId="49" fontId="11" fillId="0" borderId="0" xfId="0" applyNumberFormat="1" applyFont="1"/>
  </cellXfs>
  <cellStyles count="4">
    <cellStyle name="Comma" xfId="1" builtinId="3"/>
    <cellStyle name="Normal" xfId="0" builtinId="0"/>
    <cellStyle name="Normal_PROMO" xfId="3" xr:uid="{D169E8F8-A341-4172-AC21-F6217E12CBD8}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EE39-DB29-48A4-A6B6-578C143EC21D}">
  <dimension ref="A1:S17"/>
  <sheetViews>
    <sheetView tabSelected="1" workbookViewId="0">
      <selection activeCell="S16" sqref="S16"/>
    </sheetView>
  </sheetViews>
  <sheetFormatPr defaultRowHeight="14.4" x14ac:dyDescent="0.3"/>
  <cols>
    <col min="4" max="4" width="6.88671875" customWidth="1"/>
    <col min="5" max="5" width="20" customWidth="1"/>
    <col min="6" max="6" width="16.109375" bestFit="1" customWidth="1"/>
    <col min="7" max="7" width="12.109375" bestFit="1" customWidth="1"/>
    <col min="8" max="8" width="7.44140625" bestFit="1" customWidth="1"/>
    <col min="9" max="9" width="6.21875" bestFit="1" customWidth="1"/>
    <col min="10" max="10" width="13" bestFit="1" customWidth="1"/>
    <col min="11" max="11" width="14.6640625" bestFit="1" customWidth="1"/>
    <col min="12" max="12" width="6" bestFit="1" customWidth="1"/>
    <col min="13" max="13" width="13.6640625" bestFit="1" customWidth="1"/>
    <col min="14" max="14" width="10.88671875" bestFit="1" customWidth="1"/>
    <col min="15" max="15" width="9.6640625" bestFit="1" customWidth="1"/>
    <col min="16" max="16" width="34.77734375" customWidth="1"/>
  </cols>
  <sheetData>
    <row r="1" spans="1:19" s="12" customFormat="1" ht="40.799999999999997" x14ac:dyDescent="0.3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4" t="s">
        <v>17</v>
      </c>
    </row>
    <row r="2" spans="1:19" s="5" customFormat="1" ht="13.8" customHeight="1" x14ac:dyDescent="0.3">
      <c r="A2" s="6">
        <v>46148</v>
      </c>
      <c r="B2" s="6">
        <v>46154</v>
      </c>
      <c r="C2" s="13"/>
      <c r="D2" s="13"/>
      <c r="E2" s="6" t="s">
        <v>18</v>
      </c>
      <c r="F2" s="6" t="s">
        <v>29</v>
      </c>
      <c r="G2" s="6" t="s">
        <v>53</v>
      </c>
      <c r="H2" s="7">
        <v>397</v>
      </c>
      <c r="I2" s="8" t="s">
        <v>20</v>
      </c>
      <c r="J2" s="8" t="s">
        <v>50</v>
      </c>
      <c r="K2" s="8" t="s">
        <v>51</v>
      </c>
      <c r="L2" s="14"/>
      <c r="M2" s="8" t="s">
        <v>48</v>
      </c>
      <c r="N2" s="18" t="s">
        <v>58</v>
      </c>
      <c r="O2" s="17" t="s">
        <v>57</v>
      </c>
      <c r="P2" s="8" t="s">
        <v>47</v>
      </c>
      <c r="Q2" s="10">
        <v>4.95</v>
      </c>
      <c r="R2" s="16">
        <v>4.59</v>
      </c>
      <c r="S2" s="11">
        <f>R2/Q2-1</f>
        <v>-7.2727272727272751E-2</v>
      </c>
    </row>
    <row r="3" spans="1:19" s="5" customFormat="1" ht="13.8" customHeight="1" x14ac:dyDescent="0.3">
      <c r="A3" s="6">
        <v>46148</v>
      </c>
      <c r="B3" s="6">
        <v>46154</v>
      </c>
      <c r="C3" s="13"/>
      <c r="D3" s="13"/>
      <c r="E3" s="6" t="s">
        <v>18</v>
      </c>
      <c r="F3" s="6" t="s">
        <v>29</v>
      </c>
      <c r="G3" s="6" t="s">
        <v>19</v>
      </c>
      <c r="H3" s="7">
        <v>397</v>
      </c>
      <c r="I3" s="8" t="s">
        <v>20</v>
      </c>
      <c r="J3" s="8" t="s">
        <v>30</v>
      </c>
      <c r="K3" s="8" t="s">
        <v>52</v>
      </c>
      <c r="L3" s="14"/>
      <c r="M3" s="8" t="s">
        <v>49</v>
      </c>
      <c r="N3" s="18" t="s">
        <v>54</v>
      </c>
      <c r="O3" s="17" t="s">
        <v>55</v>
      </c>
      <c r="P3" s="8" t="s">
        <v>56</v>
      </c>
      <c r="Q3" s="10">
        <v>2.4</v>
      </c>
      <c r="R3" s="16">
        <v>1.99</v>
      </c>
      <c r="S3" s="11">
        <f>R3/Q3-1</f>
        <v>-0.17083333333333328</v>
      </c>
    </row>
    <row r="4" spans="1:19" s="5" customFormat="1" ht="13.8" customHeight="1" x14ac:dyDescent="0.3">
      <c r="A4" s="6">
        <v>46148</v>
      </c>
      <c r="B4" s="6">
        <v>46154</v>
      </c>
      <c r="C4" s="13"/>
      <c r="D4" s="13"/>
      <c r="E4" s="6" t="s">
        <v>18</v>
      </c>
      <c r="F4" s="6" t="s">
        <v>29</v>
      </c>
      <c r="G4" s="6" t="s">
        <v>19</v>
      </c>
      <c r="H4" s="7">
        <v>397</v>
      </c>
      <c r="I4" s="8" t="s">
        <v>20</v>
      </c>
      <c r="J4" s="8" t="s">
        <v>21</v>
      </c>
      <c r="K4" s="8" t="s">
        <v>22</v>
      </c>
      <c r="L4" s="14"/>
      <c r="M4" s="8" t="s">
        <v>32</v>
      </c>
      <c r="N4" s="9" t="s">
        <v>33</v>
      </c>
      <c r="O4" s="15" t="s">
        <v>59</v>
      </c>
      <c r="P4" s="8" t="s">
        <v>34</v>
      </c>
      <c r="Q4" s="10">
        <v>2.95</v>
      </c>
      <c r="R4" s="16">
        <v>1.69</v>
      </c>
      <c r="S4" s="11">
        <f>R4/Q4-1</f>
        <v>-0.42711864406779665</v>
      </c>
    </row>
    <row r="5" spans="1:19" s="5" customFormat="1" ht="13.8" customHeight="1" x14ac:dyDescent="0.3">
      <c r="A5" s="6">
        <v>46148</v>
      </c>
      <c r="B5" s="6">
        <v>46154</v>
      </c>
      <c r="C5" s="13"/>
      <c r="D5" s="13"/>
      <c r="E5" s="6" t="s">
        <v>18</v>
      </c>
      <c r="F5" s="6" t="s">
        <v>29</v>
      </c>
      <c r="G5" s="6" t="s">
        <v>19</v>
      </c>
      <c r="H5" s="7">
        <v>397</v>
      </c>
      <c r="I5" s="8" t="s">
        <v>20</v>
      </c>
      <c r="J5" s="8" t="s">
        <v>21</v>
      </c>
      <c r="K5" s="8" t="s">
        <v>23</v>
      </c>
      <c r="L5" s="14"/>
      <c r="M5" s="8" t="s">
        <v>32</v>
      </c>
      <c r="N5" s="9" t="s">
        <v>35</v>
      </c>
      <c r="O5" s="15" t="s">
        <v>60</v>
      </c>
      <c r="P5" s="8" t="s">
        <v>36</v>
      </c>
      <c r="Q5" s="10">
        <v>2.95</v>
      </c>
      <c r="R5" s="16">
        <v>1.69</v>
      </c>
      <c r="S5" s="11">
        <f>R5/Q5-1</f>
        <v>-0.42711864406779665</v>
      </c>
    </row>
    <row r="6" spans="1:19" s="5" customFormat="1" ht="13.8" customHeight="1" x14ac:dyDescent="0.3">
      <c r="A6" s="6">
        <v>46148</v>
      </c>
      <c r="B6" s="6">
        <v>46154</v>
      </c>
      <c r="C6" s="13"/>
      <c r="D6" s="13"/>
      <c r="E6" s="6" t="s">
        <v>18</v>
      </c>
      <c r="F6" s="6" t="s">
        <v>29</v>
      </c>
      <c r="G6" s="6" t="s">
        <v>19</v>
      </c>
      <c r="H6" s="7">
        <v>397</v>
      </c>
      <c r="I6" s="8" t="s">
        <v>20</v>
      </c>
      <c r="J6" s="8" t="s">
        <v>21</v>
      </c>
      <c r="K6" s="8" t="s">
        <v>37</v>
      </c>
      <c r="L6" s="14"/>
      <c r="M6" s="8" t="s">
        <v>32</v>
      </c>
      <c r="N6" s="9" t="s">
        <v>38</v>
      </c>
      <c r="O6" s="15" t="s">
        <v>61</v>
      </c>
      <c r="P6" s="8" t="s">
        <v>39</v>
      </c>
      <c r="Q6" s="10">
        <v>2.95</v>
      </c>
      <c r="R6" s="16">
        <v>1.69</v>
      </c>
      <c r="S6" s="11">
        <f>R6/Q6-1</f>
        <v>-0.42711864406779665</v>
      </c>
    </row>
    <row r="7" spans="1:19" s="5" customFormat="1" ht="13.8" customHeight="1" x14ac:dyDescent="0.3">
      <c r="A7" s="6">
        <v>46148</v>
      </c>
      <c r="B7" s="6">
        <v>46154</v>
      </c>
      <c r="C7" s="13"/>
      <c r="D7" s="13"/>
      <c r="E7" s="6" t="s">
        <v>18</v>
      </c>
      <c r="F7" s="6" t="s">
        <v>29</v>
      </c>
      <c r="G7" s="6" t="s">
        <v>19</v>
      </c>
      <c r="H7" s="7">
        <v>397</v>
      </c>
      <c r="I7" s="8" t="s">
        <v>20</v>
      </c>
      <c r="J7" s="8" t="s">
        <v>21</v>
      </c>
      <c r="K7" s="8" t="s">
        <v>37</v>
      </c>
      <c r="L7" s="14"/>
      <c r="M7" s="8" t="s">
        <v>32</v>
      </c>
      <c r="N7" s="9" t="s">
        <v>40</v>
      </c>
      <c r="O7" s="15" t="s">
        <v>62</v>
      </c>
      <c r="P7" s="8" t="s">
        <v>41</v>
      </c>
      <c r="Q7" s="10">
        <v>2.95</v>
      </c>
      <c r="R7" s="16">
        <v>1.69</v>
      </c>
      <c r="S7" s="11">
        <f>R7/Q7-1</f>
        <v>-0.42711864406779665</v>
      </c>
    </row>
    <row r="8" spans="1:19" s="5" customFormat="1" ht="13.8" customHeight="1" x14ac:dyDescent="0.3">
      <c r="A8" s="6">
        <v>46148</v>
      </c>
      <c r="B8" s="6">
        <v>46154</v>
      </c>
      <c r="C8" s="13"/>
      <c r="D8" s="13"/>
      <c r="E8" s="6" t="s">
        <v>18</v>
      </c>
      <c r="F8" s="6" t="s">
        <v>29</v>
      </c>
      <c r="G8" s="6" t="s">
        <v>19</v>
      </c>
      <c r="H8" s="7">
        <v>397</v>
      </c>
      <c r="I8" s="8" t="s">
        <v>20</v>
      </c>
      <c r="J8" s="8" t="s">
        <v>24</v>
      </c>
      <c r="K8" s="8" t="s">
        <v>43</v>
      </c>
      <c r="L8" s="14"/>
      <c r="M8" s="8" t="s">
        <v>44</v>
      </c>
      <c r="N8" s="9" t="s">
        <v>25</v>
      </c>
      <c r="O8" s="15" t="s">
        <v>45</v>
      </c>
      <c r="P8" s="8" t="s">
        <v>46</v>
      </c>
      <c r="Q8" s="10">
        <v>8.85</v>
      </c>
      <c r="R8" s="16">
        <v>5.79</v>
      </c>
      <c r="S8" s="11">
        <f>R8/Q8-1</f>
        <v>-0.34576271186440677</v>
      </c>
    </row>
    <row r="9" spans="1:19" s="5" customFormat="1" ht="13.8" customHeight="1" x14ac:dyDescent="0.3">
      <c r="A9" s="6">
        <v>46148</v>
      </c>
      <c r="B9" s="6">
        <v>46154</v>
      </c>
      <c r="C9" s="13"/>
      <c r="D9" s="13"/>
      <c r="E9" s="6" t="s">
        <v>18</v>
      </c>
      <c r="F9" s="6" t="s">
        <v>29</v>
      </c>
      <c r="G9" s="6" t="s">
        <v>19</v>
      </c>
      <c r="H9" s="7">
        <v>397</v>
      </c>
      <c r="I9" s="8" t="s">
        <v>20</v>
      </c>
      <c r="J9" s="8" t="s">
        <v>26</v>
      </c>
      <c r="K9" s="8" t="s">
        <v>42</v>
      </c>
      <c r="L9" s="14"/>
      <c r="M9" s="8" t="s">
        <v>63</v>
      </c>
      <c r="N9" s="9" t="s">
        <v>27</v>
      </c>
      <c r="O9" s="15" t="s">
        <v>64</v>
      </c>
      <c r="P9" s="8" t="s">
        <v>28</v>
      </c>
      <c r="Q9" s="10">
        <v>4.5</v>
      </c>
      <c r="R9" s="16">
        <v>2.19</v>
      </c>
      <c r="S9" s="11">
        <f>R9/Q9-1</f>
        <v>-0.51333333333333342</v>
      </c>
    </row>
    <row r="10" spans="1:19" s="5" customFormat="1" ht="13.8" customHeight="1" x14ac:dyDescent="0.3">
      <c r="A10" s="6">
        <v>46148</v>
      </c>
      <c r="B10" s="6">
        <v>46154</v>
      </c>
      <c r="C10" s="13"/>
      <c r="D10" s="13"/>
      <c r="E10" s="6" t="s">
        <v>18</v>
      </c>
      <c r="F10" s="6" t="s">
        <v>29</v>
      </c>
      <c r="G10" s="6" t="s">
        <v>19</v>
      </c>
      <c r="H10" s="7">
        <v>397</v>
      </c>
      <c r="I10" s="8" t="s">
        <v>20</v>
      </c>
      <c r="J10" s="8" t="s">
        <v>31</v>
      </c>
      <c r="K10" s="8" t="s">
        <v>65</v>
      </c>
      <c r="L10" s="14"/>
      <c r="M10" s="8" t="s">
        <v>32</v>
      </c>
      <c r="N10" s="9" t="s">
        <v>66</v>
      </c>
      <c r="O10" s="15" t="s">
        <v>67</v>
      </c>
      <c r="P10" s="8" t="s">
        <v>68</v>
      </c>
      <c r="Q10" s="10">
        <v>8.9499999999999993</v>
      </c>
      <c r="R10" s="16">
        <v>5.99</v>
      </c>
      <c r="S10" s="11">
        <f>R10/Q10-1</f>
        <v>-0.3307262569832401</v>
      </c>
    </row>
    <row r="11" spans="1:19" s="5" customFormat="1" ht="13.8" customHeight="1" x14ac:dyDescent="0.3">
      <c r="A11" s="6">
        <v>46148</v>
      </c>
      <c r="B11" s="6">
        <v>46154</v>
      </c>
      <c r="C11" s="13"/>
      <c r="D11" s="13"/>
      <c r="E11" s="6" t="s">
        <v>69</v>
      </c>
      <c r="F11" s="6" t="s">
        <v>29</v>
      </c>
      <c r="G11" s="6" t="s">
        <v>19</v>
      </c>
      <c r="H11" s="7" t="s">
        <v>75</v>
      </c>
      <c r="I11" s="8" t="s">
        <v>76</v>
      </c>
      <c r="J11" s="8" t="s">
        <v>77</v>
      </c>
      <c r="K11" s="8" t="s">
        <v>74</v>
      </c>
      <c r="L11" s="14"/>
      <c r="M11" s="8" t="s">
        <v>78</v>
      </c>
      <c r="N11" s="9" t="s">
        <v>79</v>
      </c>
      <c r="O11" s="15" t="s">
        <v>80</v>
      </c>
      <c r="P11" s="8" t="s">
        <v>81</v>
      </c>
      <c r="Q11" s="10">
        <v>4.75</v>
      </c>
      <c r="R11" s="16">
        <v>3.29</v>
      </c>
      <c r="S11" s="11">
        <f>R11/Q11-1</f>
        <v>-0.30736842105263162</v>
      </c>
    </row>
    <row r="12" spans="1:19" s="5" customFormat="1" ht="13.8" customHeight="1" x14ac:dyDescent="0.3">
      <c r="A12" s="6">
        <v>46148</v>
      </c>
      <c r="B12" s="6">
        <v>46154</v>
      </c>
      <c r="C12" s="13"/>
      <c r="D12" s="13"/>
      <c r="E12" s="6" t="s">
        <v>69</v>
      </c>
      <c r="F12" s="6" t="s">
        <v>29</v>
      </c>
      <c r="G12" s="6" t="s">
        <v>19</v>
      </c>
      <c r="H12" s="7" t="s">
        <v>75</v>
      </c>
      <c r="I12" s="8" t="s">
        <v>76</v>
      </c>
      <c r="J12" s="8" t="s">
        <v>77</v>
      </c>
      <c r="K12" s="8" t="s">
        <v>73</v>
      </c>
      <c r="L12" s="14"/>
      <c r="M12" s="8" t="s">
        <v>83</v>
      </c>
      <c r="N12" s="9" t="s">
        <v>84</v>
      </c>
      <c r="O12" s="15" t="s">
        <v>85</v>
      </c>
      <c r="P12" s="8" t="s">
        <v>86</v>
      </c>
      <c r="Q12" s="10">
        <v>2.2000000000000002</v>
      </c>
      <c r="R12" s="16">
        <v>1.49</v>
      </c>
      <c r="S12" s="11">
        <f>R12/Q12-1</f>
        <v>-0.32272727272727275</v>
      </c>
    </row>
    <row r="13" spans="1:19" s="5" customFormat="1" ht="13.8" customHeight="1" x14ac:dyDescent="0.3">
      <c r="A13" s="6">
        <v>46148</v>
      </c>
      <c r="B13" s="6">
        <v>46154</v>
      </c>
      <c r="C13" s="13"/>
      <c r="D13" s="13"/>
      <c r="E13" s="6" t="s">
        <v>69</v>
      </c>
      <c r="F13" s="6" t="s">
        <v>29</v>
      </c>
      <c r="G13" s="6" t="s">
        <v>53</v>
      </c>
      <c r="H13" s="7" t="s">
        <v>88</v>
      </c>
      <c r="I13" s="8" t="s">
        <v>76</v>
      </c>
      <c r="J13" s="8" t="s">
        <v>82</v>
      </c>
      <c r="K13" s="8" t="s">
        <v>70</v>
      </c>
      <c r="L13" s="14"/>
      <c r="M13" s="8" t="s">
        <v>89</v>
      </c>
      <c r="N13" s="9" t="s">
        <v>90</v>
      </c>
      <c r="O13" s="15" t="s">
        <v>91</v>
      </c>
      <c r="P13" s="8" t="s">
        <v>92</v>
      </c>
      <c r="Q13" s="10">
        <v>8.9499999999999993</v>
      </c>
      <c r="R13" s="16">
        <v>4.99</v>
      </c>
      <c r="S13" s="11">
        <f>R13/Q13-1</f>
        <v>-0.4424581005586592</v>
      </c>
    </row>
    <row r="14" spans="1:19" s="5" customFormat="1" ht="13.8" customHeight="1" x14ac:dyDescent="0.3">
      <c r="A14" s="6">
        <v>46148</v>
      </c>
      <c r="B14" s="6">
        <v>46154</v>
      </c>
      <c r="C14" s="13"/>
      <c r="D14" s="13"/>
      <c r="E14" s="6" t="s">
        <v>69</v>
      </c>
      <c r="F14" s="6" t="s">
        <v>29</v>
      </c>
      <c r="G14" s="6" t="s">
        <v>53</v>
      </c>
      <c r="H14" s="7" t="s">
        <v>88</v>
      </c>
      <c r="I14" s="8" t="s">
        <v>76</v>
      </c>
      <c r="J14" s="8" t="s">
        <v>72</v>
      </c>
      <c r="K14" s="8" t="s">
        <v>87</v>
      </c>
      <c r="L14" s="14"/>
      <c r="M14" s="8" t="s">
        <v>89</v>
      </c>
      <c r="N14" s="9" t="s">
        <v>93</v>
      </c>
      <c r="O14" s="15" t="s">
        <v>94</v>
      </c>
      <c r="P14" s="8" t="s">
        <v>95</v>
      </c>
      <c r="Q14" s="10">
        <v>5.45</v>
      </c>
      <c r="R14" s="16">
        <v>3.49</v>
      </c>
      <c r="S14" s="11">
        <f>R14/Q14-1</f>
        <v>-0.3596330275229358</v>
      </c>
    </row>
    <row r="15" spans="1:19" s="5" customFormat="1" ht="13.8" customHeight="1" x14ac:dyDescent="0.3">
      <c r="A15" s="6">
        <v>46148</v>
      </c>
      <c r="B15" s="6">
        <v>46154</v>
      </c>
      <c r="C15" s="13"/>
      <c r="D15" s="13"/>
      <c r="E15" s="6" t="s">
        <v>69</v>
      </c>
      <c r="F15" s="6" t="s">
        <v>29</v>
      </c>
      <c r="G15" s="6" t="s">
        <v>53</v>
      </c>
      <c r="H15" s="7" t="s">
        <v>88</v>
      </c>
      <c r="I15" s="8" t="s">
        <v>76</v>
      </c>
      <c r="J15" s="8" t="s">
        <v>72</v>
      </c>
      <c r="K15" s="8" t="s">
        <v>87</v>
      </c>
      <c r="L15" s="14"/>
      <c r="M15" s="8" t="s">
        <v>89</v>
      </c>
      <c r="N15" s="9" t="s">
        <v>96</v>
      </c>
      <c r="O15" s="15" t="s">
        <v>97</v>
      </c>
      <c r="P15" s="8" t="s">
        <v>98</v>
      </c>
      <c r="Q15" s="10">
        <v>5.95</v>
      </c>
      <c r="R15" s="16">
        <v>3.49</v>
      </c>
      <c r="S15" s="11">
        <f>R15/Q15-1</f>
        <v>-0.41344537815126048</v>
      </c>
    </row>
    <row r="16" spans="1:19" s="5" customFormat="1" ht="13.8" customHeight="1" x14ac:dyDescent="0.3">
      <c r="A16" s="6">
        <v>46148</v>
      </c>
      <c r="B16" s="6">
        <v>46154</v>
      </c>
      <c r="C16" s="13"/>
      <c r="D16" s="13"/>
      <c r="E16" s="6" t="s">
        <v>69</v>
      </c>
      <c r="F16" s="6" t="s">
        <v>29</v>
      </c>
      <c r="G16" s="6" t="s">
        <v>19</v>
      </c>
      <c r="H16" s="7" t="s">
        <v>99</v>
      </c>
      <c r="I16" s="8" t="s">
        <v>76</v>
      </c>
      <c r="J16" s="8" t="s">
        <v>77</v>
      </c>
      <c r="K16" s="8" t="s">
        <v>71</v>
      </c>
      <c r="L16" s="14"/>
      <c r="M16" s="8" t="s">
        <v>78</v>
      </c>
      <c r="N16" s="9" t="s">
        <v>100</v>
      </c>
      <c r="O16" s="15" t="s">
        <v>101</v>
      </c>
      <c r="P16" s="8" t="s">
        <v>102</v>
      </c>
      <c r="Q16" s="10">
        <v>4.5999999999999996</v>
      </c>
      <c r="R16" s="16">
        <v>2.99</v>
      </c>
      <c r="S16" s="11">
        <f>R16/Q16-1</f>
        <v>-0.34999999999999987</v>
      </c>
    </row>
    <row r="17" spans="1:19" s="5" customFormat="1" ht="13.8" customHeight="1" x14ac:dyDescent="0.3">
      <c r="A17" s="6">
        <v>46148</v>
      </c>
      <c r="B17" s="6">
        <v>46154</v>
      </c>
      <c r="C17" s="13"/>
      <c r="D17" s="13"/>
      <c r="E17" s="6" t="s">
        <v>103</v>
      </c>
      <c r="F17" s="6" t="s">
        <v>29</v>
      </c>
      <c r="G17" s="6" t="s">
        <v>19</v>
      </c>
      <c r="H17" s="7">
        <v>397</v>
      </c>
      <c r="I17" s="8" t="s">
        <v>106</v>
      </c>
      <c r="J17" s="8" t="s">
        <v>107</v>
      </c>
      <c r="K17" s="8" t="s">
        <v>108</v>
      </c>
      <c r="L17" s="14"/>
      <c r="M17" s="8" t="s">
        <v>109</v>
      </c>
      <c r="N17" s="9" t="s">
        <v>104</v>
      </c>
      <c r="O17" s="15" t="s">
        <v>110</v>
      </c>
      <c r="P17" s="8" t="s">
        <v>105</v>
      </c>
      <c r="Q17" s="10">
        <v>10.95</v>
      </c>
      <c r="R17" s="16">
        <v>7.99</v>
      </c>
      <c r="S17" s="11">
        <f>R17/Q17-1</f>
        <v>-0.27031963470319631</v>
      </c>
    </row>
  </sheetData>
  <conditionalFormatting sqref="C2:D16">
    <cfRule type="duplicateValues" dxfId="17" priority="12"/>
    <cfRule type="duplicateValues" dxfId="16" priority="13"/>
    <cfRule type="duplicateValues" dxfId="15" priority="14"/>
    <cfRule type="duplicateValues" dxfId="14" priority="15"/>
  </conditionalFormatting>
  <conditionalFormatting sqref="C17:D17">
    <cfRule type="duplicateValues" dxfId="13" priority="1"/>
    <cfRule type="duplicateValues" dxfId="12" priority="2"/>
    <cfRule type="duplicateValues" dxfId="11" priority="3"/>
    <cfRule type="duplicateValues" dxfId="10" priority="4"/>
  </conditionalFormatting>
  <conditionalFormatting sqref="N1">
    <cfRule type="duplicateValues" dxfId="9" priority="38"/>
    <cfRule type="duplicateValues" dxfId="8" priority="39"/>
    <cfRule type="duplicateValues" dxfId="7" priority="40"/>
    <cfRule type="duplicateValues" dxfId="6" priority="41"/>
    <cfRule type="duplicateValues" dxfId="5" priority="42"/>
    <cfRule type="duplicateValues" dxfId="4" priority="43"/>
  </conditionalFormatting>
  <conditionalFormatting sqref="N4:N17">
    <cfRule type="duplicateValues" dxfId="3" priority="16"/>
    <cfRule type="duplicateValues" dxfId="2" priority="17"/>
    <cfRule type="duplicateValues" dxfId="1" priority="18"/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მაგნიტი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Khatia Baramidze</dc:creator>
  <cp:lastModifiedBy>Salome Modebadze</cp:lastModifiedBy>
  <dcterms:created xsi:type="dcterms:W3CDTF">2026-05-05T10:52:43Z</dcterms:created>
  <dcterms:modified xsi:type="dcterms:W3CDTF">2026-05-05T12:53:39Z</dcterms:modified>
</cp:coreProperties>
</file>